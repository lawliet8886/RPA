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argos e Salários\Tabelas Salariais\2025\"/>
    </mc:Choice>
  </mc:AlternateContent>
  <xr:revisionPtr revIDLastSave="0" documentId="13_ncr:1_{B813F8CA-42D6-415B-AEAD-66E4C8E2C600}" xr6:coauthVersionLast="47" xr6:coauthVersionMax="47" xr10:uidLastSave="{00000000-0000-0000-0000-000000000000}"/>
  <bookViews>
    <workbookView xWindow="-19320" yWindow="-120" windowWidth="19440" windowHeight="15000" xr2:uid="{C2FF7A6B-55B9-4A78-BC0C-16414E6C539A}"/>
  </bookViews>
  <sheets>
    <sheet name="Planilha1" sheetId="1" r:id="rId1"/>
  </sheets>
  <definedNames>
    <definedName name="_xlnm._FilterDatabase" localSheetId="0" hidden="1">Planilha1!$A$2:$P$75</definedName>
    <definedName name="_xlnm.Print_Titles" localSheetId="0">Planilha1!$2:$2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5" i="1"/>
  <c r="K4" i="1"/>
  <c r="K3" i="1"/>
  <c r="L14" i="1"/>
  <c r="G14" i="1"/>
  <c r="J14" i="1" s="1"/>
  <c r="L13" i="1"/>
  <c r="J13" i="1"/>
  <c r="G13" i="1"/>
  <c r="I13" i="1" l="1"/>
  <c r="M13" i="1" s="1"/>
  <c r="N13" i="1" s="1"/>
  <c r="P13" i="1" s="1"/>
  <c r="I14" i="1"/>
  <c r="M14" i="1" s="1"/>
  <c r="N14" i="1" s="1"/>
  <c r="P14" i="1" s="1"/>
  <c r="L4" i="1" l="1"/>
  <c r="L5" i="1"/>
  <c r="L6" i="1"/>
  <c r="L7" i="1"/>
  <c r="L8" i="1"/>
  <c r="L9" i="1"/>
  <c r="L10" i="1"/>
  <c r="L11" i="1"/>
  <c r="L12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3" i="1"/>
  <c r="J4" i="1"/>
  <c r="J5" i="1"/>
  <c r="J7" i="1"/>
  <c r="J8" i="1"/>
  <c r="J10" i="1"/>
  <c r="J11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32" i="1"/>
  <c r="J33" i="1"/>
  <c r="J34" i="1"/>
  <c r="J36" i="1"/>
  <c r="J37" i="1"/>
  <c r="J38" i="1"/>
  <c r="J39" i="1"/>
  <c r="J40" i="1"/>
  <c r="J42" i="1"/>
  <c r="J44" i="1"/>
  <c r="J45" i="1"/>
  <c r="J46" i="1"/>
  <c r="J47" i="1"/>
  <c r="J48" i="1"/>
  <c r="J49" i="1"/>
  <c r="J50" i="1"/>
  <c r="J51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2" i="1"/>
  <c r="J74" i="1"/>
  <c r="J75" i="1"/>
  <c r="J3" i="1"/>
  <c r="G5" i="1"/>
  <c r="G6" i="1"/>
  <c r="G7" i="1"/>
  <c r="G8" i="1"/>
  <c r="G9" i="1"/>
  <c r="J9" i="1" s="1"/>
  <c r="G10" i="1"/>
  <c r="G11" i="1"/>
  <c r="G12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J35" i="1" s="1"/>
  <c r="G36" i="1"/>
  <c r="G37" i="1"/>
  <c r="G38" i="1"/>
  <c r="G39" i="1"/>
  <c r="G40" i="1"/>
  <c r="G41" i="1"/>
  <c r="G42" i="1"/>
  <c r="G43" i="1"/>
  <c r="J43" i="1" s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J71" i="1" s="1"/>
  <c r="G72" i="1"/>
  <c r="G73" i="1"/>
  <c r="G74" i="1"/>
  <c r="G75" i="1"/>
  <c r="G4" i="1"/>
  <c r="G3" i="1"/>
  <c r="M72" i="1" l="1"/>
  <c r="M64" i="1"/>
  <c r="N64" i="1" s="1"/>
  <c r="P64" i="1" s="1"/>
  <c r="M56" i="1"/>
  <c r="N56" i="1" s="1"/>
  <c r="P56" i="1" s="1"/>
  <c r="M48" i="1"/>
  <c r="N48" i="1" s="1"/>
  <c r="P48" i="1" s="1"/>
  <c r="M36" i="1"/>
  <c r="N36" i="1" s="1"/>
  <c r="P36" i="1" s="1"/>
  <c r="M16" i="1"/>
  <c r="N16" i="1" s="1"/>
  <c r="O16" i="1" s="1"/>
  <c r="M4" i="1"/>
  <c r="N4" i="1" s="1"/>
  <c r="O4" i="1" s="1"/>
  <c r="M68" i="1"/>
  <c r="N68" i="1" s="1"/>
  <c r="O68" i="1" s="1"/>
  <c r="M60" i="1"/>
  <c r="N60" i="1" s="1"/>
  <c r="P60" i="1" s="1"/>
  <c r="M44" i="1"/>
  <c r="N44" i="1" s="1"/>
  <c r="O44" i="1" s="1"/>
  <c r="M40" i="1"/>
  <c r="N40" i="1" s="1"/>
  <c r="M32" i="1"/>
  <c r="N32" i="1" s="1"/>
  <c r="O32" i="1" s="1"/>
  <c r="M28" i="1"/>
  <c r="N28" i="1" s="1"/>
  <c r="P28" i="1" s="1"/>
  <c r="M24" i="1"/>
  <c r="N24" i="1" s="1"/>
  <c r="O24" i="1" s="1"/>
  <c r="M20" i="1"/>
  <c r="N20" i="1" s="1"/>
  <c r="P20" i="1" s="1"/>
  <c r="M10" i="1"/>
  <c r="N10" i="1" s="1"/>
  <c r="O10" i="1" s="1"/>
  <c r="M75" i="1"/>
  <c r="N75" i="1" s="1"/>
  <c r="P75" i="1" s="1"/>
  <c r="M55" i="1"/>
  <c r="N55" i="1" s="1"/>
  <c r="O55" i="1" s="1"/>
  <c r="M47" i="1"/>
  <c r="N47" i="1" s="1"/>
  <c r="P47" i="1" s="1"/>
  <c r="M39" i="1"/>
  <c r="N39" i="1" s="1"/>
  <c r="O39" i="1" s="1"/>
  <c r="M15" i="1"/>
  <c r="N15" i="1" s="1"/>
  <c r="P15" i="1" s="1"/>
  <c r="M3" i="1"/>
  <c r="N3" i="1" s="1"/>
  <c r="P3" i="1" s="1"/>
  <c r="M5" i="1"/>
  <c r="N5" i="1" s="1"/>
  <c r="P5" i="1" s="1"/>
  <c r="M74" i="1"/>
  <c r="N74" i="1" s="1"/>
  <c r="M70" i="1"/>
  <c r="M66" i="1"/>
  <c r="N66" i="1" s="1"/>
  <c r="P66" i="1" s="1"/>
  <c r="M62" i="1"/>
  <c r="N62" i="1" s="1"/>
  <c r="P62" i="1" s="1"/>
  <c r="M58" i="1"/>
  <c r="N58" i="1" s="1"/>
  <c r="P58" i="1" s="1"/>
  <c r="M54" i="1"/>
  <c r="N54" i="1" s="1"/>
  <c r="O54" i="1" s="1"/>
  <c r="M50" i="1"/>
  <c r="N50" i="1" s="1"/>
  <c r="P50" i="1" s="1"/>
  <c r="M46" i="1"/>
  <c r="N46" i="1" s="1"/>
  <c r="P46" i="1" s="1"/>
  <c r="M42" i="1"/>
  <c r="M38" i="1"/>
  <c r="N38" i="1" s="1"/>
  <c r="P38" i="1" s="1"/>
  <c r="M34" i="1"/>
  <c r="N34" i="1" s="1"/>
  <c r="P34" i="1" s="1"/>
  <c r="M30" i="1"/>
  <c r="N30" i="1" s="1"/>
  <c r="O30" i="1" s="1"/>
  <c r="M22" i="1"/>
  <c r="N22" i="1" s="1"/>
  <c r="O22" i="1" s="1"/>
  <c r="M18" i="1"/>
  <c r="N18" i="1" s="1"/>
  <c r="P18" i="1" s="1"/>
  <c r="M8" i="1"/>
  <c r="N8" i="1" s="1"/>
  <c r="P8" i="1" s="1"/>
  <c r="M69" i="1"/>
  <c r="N69" i="1" s="1"/>
  <c r="O69" i="1" s="1"/>
  <c r="M65" i="1"/>
  <c r="N65" i="1" s="1"/>
  <c r="O65" i="1" s="1"/>
  <c r="M25" i="1"/>
  <c r="N25" i="1" s="1"/>
  <c r="P25" i="1" s="1"/>
  <c r="M17" i="1"/>
  <c r="N17" i="1" s="1"/>
  <c r="P17" i="1" s="1"/>
  <c r="M67" i="1"/>
  <c r="N67" i="1" s="1"/>
  <c r="P67" i="1" s="1"/>
  <c r="M63" i="1"/>
  <c r="N63" i="1" s="1"/>
  <c r="O63" i="1" s="1"/>
  <c r="M61" i="1"/>
  <c r="N61" i="1" s="1"/>
  <c r="O61" i="1" s="1"/>
  <c r="M59" i="1"/>
  <c r="N59" i="1" s="1"/>
  <c r="O59" i="1" s="1"/>
  <c r="M57" i="1"/>
  <c r="N57" i="1" s="1"/>
  <c r="P57" i="1" s="1"/>
  <c r="M51" i="1"/>
  <c r="N51" i="1" s="1"/>
  <c r="P51" i="1" s="1"/>
  <c r="M49" i="1"/>
  <c r="N49" i="1" s="1"/>
  <c r="O49" i="1" s="1"/>
  <c r="M45" i="1"/>
  <c r="N45" i="1" s="1"/>
  <c r="O45" i="1" s="1"/>
  <c r="M37" i="1"/>
  <c r="N37" i="1" s="1"/>
  <c r="O37" i="1" s="1"/>
  <c r="M33" i="1"/>
  <c r="N33" i="1" s="1"/>
  <c r="O33" i="1" s="1"/>
  <c r="M31" i="1"/>
  <c r="N31" i="1" s="1"/>
  <c r="O31" i="1" s="1"/>
  <c r="M29" i="1"/>
  <c r="N29" i="1" s="1"/>
  <c r="O29" i="1" s="1"/>
  <c r="M27" i="1"/>
  <c r="N27" i="1" s="1"/>
  <c r="P27" i="1" s="1"/>
  <c r="M23" i="1"/>
  <c r="N23" i="1" s="1"/>
  <c r="P23" i="1" s="1"/>
  <c r="M21" i="1"/>
  <c r="N21" i="1" s="1"/>
  <c r="O21" i="1" s="1"/>
  <c r="M19" i="1"/>
  <c r="N19" i="1" s="1"/>
  <c r="O19" i="1" s="1"/>
  <c r="M11" i="1"/>
  <c r="N11" i="1" s="1"/>
  <c r="P11" i="1" s="1"/>
  <c r="M7" i="1"/>
  <c r="N7" i="1" s="1"/>
  <c r="O7" i="1" s="1"/>
  <c r="J26" i="1"/>
  <c r="M26" i="1" s="1"/>
  <c r="N26" i="1" s="1"/>
  <c r="P26" i="1" s="1"/>
  <c r="J12" i="1"/>
  <c r="M12" i="1" s="1"/>
  <c r="N12" i="1" s="1"/>
  <c r="P12" i="1" s="1"/>
  <c r="M71" i="1"/>
  <c r="M43" i="1"/>
  <c r="M35" i="1"/>
  <c r="N35" i="1" s="1"/>
  <c r="P35" i="1" s="1"/>
  <c r="M9" i="1"/>
  <c r="N9" i="1" s="1"/>
  <c r="P9" i="1" s="1"/>
  <c r="J73" i="1"/>
  <c r="M73" i="1" s="1"/>
  <c r="J53" i="1"/>
  <c r="M53" i="1" s="1"/>
  <c r="N53" i="1" s="1"/>
  <c r="P53" i="1" s="1"/>
  <c r="J41" i="1"/>
  <c r="M41" i="1" s="1"/>
  <c r="N41" i="1" s="1"/>
  <c r="J52" i="1"/>
  <c r="M52" i="1" s="1"/>
  <c r="N52" i="1" s="1"/>
  <c r="P52" i="1" s="1"/>
  <c r="J6" i="1"/>
  <c r="M6" i="1" s="1"/>
  <c r="N6" i="1" s="1"/>
  <c r="P6" i="1" s="1"/>
  <c r="O41" i="1" l="1"/>
  <c r="P41" i="1"/>
  <c r="O40" i="1"/>
  <c r="P40" i="1"/>
  <c r="P74" i="1"/>
  <c r="O74" i="1"/>
  <c r="N42" i="1"/>
  <c r="P42" i="1" s="1"/>
  <c r="N43" i="1"/>
  <c r="P43" i="1" s="1"/>
  <c r="N73" i="1"/>
  <c r="P73" i="1" s="1"/>
  <c r="N71" i="1"/>
  <c r="N70" i="1"/>
  <c r="N72" i="1"/>
  <c r="P72" i="1" s="1"/>
  <c r="O70" i="1" l="1"/>
  <c r="P70" i="1"/>
  <c r="O71" i="1"/>
  <c r="P71" i="1"/>
</calcChain>
</file>

<file path=xl/sharedStrings.xml><?xml version="1.0" encoding="utf-8"?>
<sst xmlns="http://schemas.openxmlformats.org/spreadsheetml/2006/main" count="163" uniqueCount="65">
  <si>
    <t>TABELA RPA RAPs - SAÚDE MENTAL</t>
  </si>
  <si>
    <t>FUNCÃO</t>
  </si>
  <si>
    <t>CH SEMANAL</t>
  </si>
  <si>
    <t>CH MÊS</t>
  </si>
  <si>
    <t>DIAS TRAB.</t>
  </si>
  <si>
    <t>TURNO</t>
  </si>
  <si>
    <t>VALOR HORA</t>
  </si>
  <si>
    <t>SALARIO BASE</t>
  </si>
  <si>
    <t>INSALUB.</t>
  </si>
  <si>
    <t>AD.NOT</t>
  </si>
  <si>
    <t>VT</t>
  </si>
  <si>
    <t>VA/VR</t>
  </si>
  <si>
    <t>REMUNERACAO TOTAL</t>
  </si>
  <si>
    <t>VALOR HORA TRABALHADA PARA CÁLCULO DE RPA</t>
  </si>
  <si>
    <t>Administrador</t>
  </si>
  <si>
    <t>Dia</t>
  </si>
  <si>
    <t>Agente Cultural</t>
  </si>
  <si>
    <t>Agente de Portaria Acolhedor</t>
  </si>
  <si>
    <t>Noite</t>
  </si>
  <si>
    <t>Agente Redutor de Danos I</t>
  </si>
  <si>
    <t>Agente Redutor de Danos II</t>
  </si>
  <si>
    <t>AGENTE TERRITORIAL I</t>
  </si>
  <si>
    <t>AGENTE TERRITORIAL II</t>
  </si>
  <si>
    <t>Arquivista</t>
  </si>
  <si>
    <t>Assessor Tecnico</t>
  </si>
  <si>
    <t>Assistente Administrativo</t>
  </si>
  <si>
    <t>Assistente Administrativo III</t>
  </si>
  <si>
    <t>Assistente Social</t>
  </si>
  <si>
    <t>Auxiliar de Servicos Gerais</t>
  </si>
  <si>
    <t>Barbeiro</t>
  </si>
  <si>
    <t>Bibliotecario</t>
  </si>
  <si>
    <t>Coordenador Administrativo</t>
  </si>
  <si>
    <t>Coordenador Medico</t>
  </si>
  <si>
    <t>Coordenador Tecnico</t>
  </si>
  <si>
    <t>Coordenador Tecnico Administrativo</t>
  </si>
  <si>
    <t>Copeiro</t>
  </si>
  <si>
    <t>Cozinheiro</t>
  </si>
  <si>
    <t>Diretor CAPS</t>
  </si>
  <si>
    <t>Educador Fisico</t>
  </si>
  <si>
    <t>Enfermeiro (diarista)</t>
  </si>
  <si>
    <t>Enfermeiro (plantonista)</t>
  </si>
  <si>
    <t>Farmaceutico</t>
  </si>
  <si>
    <t>Filosofo</t>
  </si>
  <si>
    <t>Fonoaudiologo</t>
  </si>
  <si>
    <t>Historiador</t>
  </si>
  <si>
    <t>Jornalista</t>
  </si>
  <si>
    <t>Medico</t>
  </si>
  <si>
    <t>Monitor II</t>
  </si>
  <si>
    <t>Motorista</t>
  </si>
  <si>
    <t>Museologo</t>
  </si>
  <si>
    <t>Musicoterapeuta</t>
  </si>
  <si>
    <t>NUTRICIONISTA</t>
  </si>
  <si>
    <t>Oficineiro</t>
  </si>
  <si>
    <t>Professor de Artes Psicossocial</t>
  </si>
  <si>
    <t>Profissional de Educação Física</t>
  </si>
  <si>
    <t>Psicologo</t>
  </si>
  <si>
    <t>Supervisor</t>
  </si>
  <si>
    <t>Tecnico Administrativo</t>
  </si>
  <si>
    <t>Tecnico de Enfermagem (diarista)</t>
  </si>
  <si>
    <t>Tecnico de Enfermagem (plantonista)</t>
  </si>
  <si>
    <t>Tecnico em Farmacia</t>
  </si>
  <si>
    <t>Terapeuta Ocupacional</t>
  </si>
  <si>
    <t>PERICULOS.</t>
  </si>
  <si>
    <t>VALOR RPA A CADA 08H TRABALHADAS (diaristas)</t>
  </si>
  <si>
    <t>VALOR RPA A CADA 12H TRABALHADAS (plantonistas)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</si>
</sst>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&quot; R$ &quot;#,##0.00&quot; &quot;;&quot;-R$ &quot;#,##0.00&quot; &quot;;&quot; R$ -&quot;#&quot; &quot;;&quot; &quot;@&quot; 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4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2" fontId="0" fillId="3" borderId="1" xfId="0" applyNumberFormat="1" applyFill="1" applyBorder="1"/>
    <xf numFmtId="44" fontId="0" fillId="3" borderId="1" xfId="1" applyFont="1" applyFill="1" applyBorder="1"/>
    <xf numFmtId="44" fontId="0" fillId="3" borderId="1" xfId="0" applyNumberFormat="1" applyFill="1" applyBorder="1"/>
    <xf numFmtId="2" fontId="0" fillId="4" borderId="1" xfId="0" applyNumberFormat="1" applyFill="1" applyBorder="1"/>
    <xf numFmtId="44" fontId="0" fillId="4" borderId="1" xfId="1" applyFont="1" applyFill="1" applyBorder="1"/>
    <xf numFmtId="44" fontId="0" fillId="4" borderId="1" xfId="0" applyNumberFormat="1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0" borderId="0" xfId="0" applyNumberFormat="1"/>
    <xf numFmtId="44" fontId="0" fillId="5" borderId="1" xfId="0" applyNumberFormat="1" applyFill="1" applyBorder="1"/>
  </cellXfs>
  <cellStyles count="3">
    <cellStyle name="Excel Built-in Currency" xfId="2" xr:uid="{37DE8511-92E0-4270-8669-7685CCCB87B7}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2421-C767-42FF-8896-8C9B3E24F005}">
  <dimension ref="A1:P78"/>
  <sheetViews>
    <sheetView showGridLines="0" tabSelected="1" zoomScaleNormal="100" workbookViewId="0">
      <selection activeCell="A19" sqref="A19"/>
    </sheetView>
  </sheetViews>
  <sheetFormatPr defaultRowHeight="15" x14ac:dyDescent="0.25"/>
  <cols>
    <col min="1" max="1" width="34.85546875" bestFit="1" customWidth="1"/>
    <col min="2" max="2" width="9.140625" style="11"/>
    <col min="3" max="4" width="9.140625" style="11" customWidth="1"/>
    <col min="5" max="5" width="9.140625" style="11"/>
    <col min="6" max="7" width="13.7109375" customWidth="1"/>
    <col min="8" max="12" width="12.7109375" customWidth="1"/>
    <col min="13" max="16" width="13.7109375" customWidth="1"/>
  </cols>
  <sheetData>
    <row r="1" spans="1:16" ht="15.75" x14ac:dyDescent="0.25">
      <c r="A1" s="1" t="s">
        <v>0</v>
      </c>
    </row>
    <row r="2" spans="1:16" ht="4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62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63</v>
      </c>
      <c r="P2" s="2" t="s">
        <v>64</v>
      </c>
    </row>
    <row r="3" spans="1:16" x14ac:dyDescent="0.25">
      <c r="A3" s="3" t="s">
        <v>14</v>
      </c>
      <c r="B3" s="12">
        <v>30</v>
      </c>
      <c r="C3" s="12">
        <v>150</v>
      </c>
      <c r="D3" s="12">
        <v>22</v>
      </c>
      <c r="E3" s="12" t="s">
        <v>15</v>
      </c>
      <c r="F3" s="5">
        <v>29.820333333333334</v>
      </c>
      <c r="G3" s="6">
        <f>F3*C3</f>
        <v>4473.05</v>
      </c>
      <c r="H3" s="5">
        <v>303.60000000000002</v>
      </c>
      <c r="I3" s="5">
        <v>0</v>
      </c>
      <c r="J3" s="6">
        <f>IF($E3="NOITE",($G3/$C3*0.2)*8*$D3,0)</f>
        <v>0</v>
      </c>
      <c r="K3" s="5">
        <f>9.4*D3</f>
        <v>206.8</v>
      </c>
      <c r="L3" s="3">
        <f>26.9*D3</f>
        <v>591.79999999999995</v>
      </c>
      <c r="M3" s="7">
        <f>SUM(G3:L3)</f>
        <v>5575.2500000000009</v>
      </c>
      <c r="N3" s="7">
        <f>M3/C3</f>
        <v>37.168333333333337</v>
      </c>
      <c r="O3" s="7">
        <v>0</v>
      </c>
      <c r="P3" s="7">
        <f>N3*12</f>
        <v>446.02000000000004</v>
      </c>
    </row>
    <row r="4" spans="1:16" x14ac:dyDescent="0.25">
      <c r="A4" s="4" t="s">
        <v>16</v>
      </c>
      <c r="B4" s="13">
        <v>40</v>
      </c>
      <c r="C4" s="13">
        <v>200</v>
      </c>
      <c r="D4" s="13">
        <v>22</v>
      </c>
      <c r="E4" s="13" t="s">
        <v>15</v>
      </c>
      <c r="F4" s="8">
        <v>11.9734</v>
      </c>
      <c r="G4" s="9">
        <f>F4*C4</f>
        <v>2394.6799999999998</v>
      </c>
      <c r="H4" s="8">
        <v>303.60000000000002</v>
      </c>
      <c r="I4" s="8">
        <v>0</v>
      </c>
      <c r="J4" s="9">
        <f t="shared" ref="J4:J69" si="0">IF($E4="NOITE",($G4/$C4*0.2)*8*$D4,0)</f>
        <v>0</v>
      </c>
      <c r="K4" s="9">
        <f>9.4*D4</f>
        <v>206.8</v>
      </c>
      <c r="L4" s="4">
        <f t="shared" ref="L4:L69" si="1">26.9*D4</f>
        <v>591.79999999999995</v>
      </c>
      <c r="M4" s="10">
        <f t="shared" ref="M4:M69" si="2">SUM(G4:L4)</f>
        <v>3496.88</v>
      </c>
      <c r="N4" s="10">
        <f t="shared" ref="N4:N69" si="3">M4/C4</f>
        <v>17.484400000000001</v>
      </c>
      <c r="O4" s="15">
        <f>N4*8</f>
        <v>139.87520000000001</v>
      </c>
      <c r="P4" s="15">
        <v>0</v>
      </c>
    </row>
    <row r="5" spans="1:16" x14ac:dyDescent="0.25">
      <c r="A5" s="3" t="s">
        <v>17</v>
      </c>
      <c r="B5" s="12">
        <v>36</v>
      </c>
      <c r="C5" s="12">
        <v>180</v>
      </c>
      <c r="D5" s="12">
        <v>15</v>
      </c>
      <c r="E5" s="12" t="s">
        <v>15</v>
      </c>
      <c r="F5" s="5">
        <v>8.0111111111111111</v>
      </c>
      <c r="G5" s="6">
        <f t="shared" ref="G5:G70" si="4">F5*C5</f>
        <v>1442</v>
      </c>
      <c r="H5" s="5">
        <v>303.60000000000002</v>
      </c>
      <c r="I5" s="5">
        <v>0</v>
      </c>
      <c r="J5" s="6">
        <f t="shared" si="0"/>
        <v>0</v>
      </c>
      <c r="K5" s="5">
        <f>9.4*D5</f>
        <v>141</v>
      </c>
      <c r="L5" s="3">
        <f t="shared" si="1"/>
        <v>403.5</v>
      </c>
      <c r="M5" s="7">
        <f t="shared" si="2"/>
        <v>2290.1</v>
      </c>
      <c r="N5" s="7">
        <f t="shared" si="3"/>
        <v>12.722777777777777</v>
      </c>
      <c r="O5" s="7">
        <v>0</v>
      </c>
      <c r="P5" s="7">
        <f t="shared" ref="P5:P67" si="5">N5*12</f>
        <v>152.67333333333332</v>
      </c>
    </row>
    <row r="6" spans="1:16" x14ac:dyDescent="0.25">
      <c r="A6" s="4" t="s">
        <v>17</v>
      </c>
      <c r="B6" s="13">
        <v>36</v>
      </c>
      <c r="C6" s="13">
        <v>180</v>
      </c>
      <c r="D6" s="13">
        <v>15</v>
      </c>
      <c r="E6" s="13" t="s">
        <v>18</v>
      </c>
      <c r="F6" s="8">
        <v>8.0111111111111111</v>
      </c>
      <c r="G6" s="9">
        <f t="shared" si="4"/>
        <v>1442</v>
      </c>
      <c r="H6" s="8">
        <v>303.60000000000002</v>
      </c>
      <c r="I6" s="8">
        <v>0</v>
      </c>
      <c r="J6" s="9">
        <f t="shared" si="0"/>
        <v>192.26666666666665</v>
      </c>
      <c r="K6" s="9">
        <f t="shared" ref="K6:K69" si="6">9.4*D6</f>
        <v>141</v>
      </c>
      <c r="L6" s="4">
        <f t="shared" si="1"/>
        <v>403.5</v>
      </c>
      <c r="M6" s="10">
        <f t="shared" si="2"/>
        <v>2482.3666666666668</v>
      </c>
      <c r="N6" s="10">
        <f t="shared" si="3"/>
        <v>13.790925925925926</v>
      </c>
      <c r="O6" s="15">
        <v>0</v>
      </c>
      <c r="P6" s="15">
        <f t="shared" si="5"/>
        <v>165.49111111111111</v>
      </c>
    </row>
    <row r="7" spans="1:16" x14ac:dyDescent="0.25">
      <c r="A7" s="3" t="s">
        <v>19</v>
      </c>
      <c r="B7" s="12">
        <v>40</v>
      </c>
      <c r="C7" s="12">
        <v>200</v>
      </c>
      <c r="D7" s="12">
        <v>22</v>
      </c>
      <c r="E7" s="12" t="s">
        <v>15</v>
      </c>
      <c r="F7" s="5">
        <v>8.2822499999999994</v>
      </c>
      <c r="G7" s="6">
        <f t="shared" si="4"/>
        <v>1656.4499999999998</v>
      </c>
      <c r="H7" s="5">
        <v>303.60000000000002</v>
      </c>
      <c r="I7" s="5">
        <v>0</v>
      </c>
      <c r="J7" s="6">
        <f t="shared" si="0"/>
        <v>0</v>
      </c>
      <c r="K7" s="5">
        <f t="shared" si="6"/>
        <v>206.8</v>
      </c>
      <c r="L7" s="3">
        <f t="shared" si="1"/>
        <v>591.79999999999995</v>
      </c>
      <c r="M7" s="7">
        <f t="shared" si="2"/>
        <v>2758.6499999999996</v>
      </c>
      <c r="N7" s="7">
        <f t="shared" si="3"/>
        <v>13.793249999999999</v>
      </c>
      <c r="O7" s="7">
        <f>N7*8</f>
        <v>110.34599999999999</v>
      </c>
      <c r="P7" s="7">
        <v>0</v>
      </c>
    </row>
    <row r="8" spans="1:16" x14ac:dyDescent="0.25">
      <c r="A8" s="4" t="s">
        <v>19</v>
      </c>
      <c r="B8" s="13">
        <v>36</v>
      </c>
      <c r="C8" s="13">
        <v>180</v>
      </c>
      <c r="D8" s="13">
        <v>15</v>
      </c>
      <c r="E8" s="13" t="s">
        <v>15</v>
      </c>
      <c r="F8" s="8">
        <v>8.2822499999999994</v>
      </c>
      <c r="G8" s="9">
        <f t="shared" si="4"/>
        <v>1490.8049999999998</v>
      </c>
      <c r="H8" s="8">
        <v>303.60000000000002</v>
      </c>
      <c r="I8" s="8">
        <v>0</v>
      </c>
      <c r="J8" s="9">
        <f t="shared" si="0"/>
        <v>0</v>
      </c>
      <c r="K8" s="9">
        <f t="shared" si="6"/>
        <v>141</v>
      </c>
      <c r="L8" s="4">
        <f t="shared" si="1"/>
        <v>403.5</v>
      </c>
      <c r="M8" s="10">
        <f t="shared" si="2"/>
        <v>2338.9049999999997</v>
      </c>
      <c r="N8" s="10">
        <f t="shared" si="3"/>
        <v>12.993916666666665</v>
      </c>
      <c r="O8" s="15">
        <v>0</v>
      </c>
      <c r="P8" s="15">
        <f t="shared" si="5"/>
        <v>155.92699999999999</v>
      </c>
    </row>
    <row r="9" spans="1:16" x14ac:dyDescent="0.25">
      <c r="A9" s="3" t="s">
        <v>19</v>
      </c>
      <c r="B9" s="12">
        <v>36</v>
      </c>
      <c r="C9" s="12">
        <v>180</v>
      </c>
      <c r="D9" s="12">
        <v>15</v>
      </c>
      <c r="E9" s="12" t="s">
        <v>18</v>
      </c>
      <c r="F9" s="5">
        <v>8.2822499999999994</v>
      </c>
      <c r="G9" s="6">
        <f t="shared" si="4"/>
        <v>1490.8049999999998</v>
      </c>
      <c r="H9" s="5">
        <v>303.60000000000002</v>
      </c>
      <c r="I9" s="5">
        <v>0</v>
      </c>
      <c r="J9" s="6">
        <f t="shared" si="0"/>
        <v>198.774</v>
      </c>
      <c r="K9" s="5">
        <f t="shared" si="6"/>
        <v>141</v>
      </c>
      <c r="L9" s="3">
        <f t="shared" si="1"/>
        <v>403.5</v>
      </c>
      <c r="M9" s="7">
        <f t="shared" si="2"/>
        <v>2537.6789999999996</v>
      </c>
      <c r="N9" s="7">
        <f t="shared" si="3"/>
        <v>14.098216666666664</v>
      </c>
      <c r="O9" s="7">
        <v>0</v>
      </c>
      <c r="P9" s="7">
        <f t="shared" si="5"/>
        <v>169.17859999999996</v>
      </c>
    </row>
    <row r="10" spans="1:16" x14ac:dyDescent="0.25">
      <c r="A10" s="4" t="s">
        <v>20</v>
      </c>
      <c r="B10" s="13">
        <v>40</v>
      </c>
      <c r="C10" s="13">
        <v>200</v>
      </c>
      <c r="D10" s="13">
        <v>22</v>
      </c>
      <c r="E10" s="13" t="s">
        <v>15</v>
      </c>
      <c r="F10" s="8">
        <v>11.97338888888889</v>
      </c>
      <c r="G10" s="9">
        <f t="shared" si="4"/>
        <v>2394.6777777777779</v>
      </c>
      <c r="H10" s="8">
        <v>303.60000000000002</v>
      </c>
      <c r="I10" s="8">
        <v>0</v>
      </c>
      <c r="J10" s="9">
        <f t="shared" si="0"/>
        <v>0</v>
      </c>
      <c r="K10" s="9">
        <f t="shared" si="6"/>
        <v>206.8</v>
      </c>
      <c r="L10" s="4">
        <f t="shared" si="1"/>
        <v>591.79999999999995</v>
      </c>
      <c r="M10" s="10">
        <f t="shared" si="2"/>
        <v>3496.8777777777777</v>
      </c>
      <c r="N10" s="10">
        <f t="shared" si="3"/>
        <v>17.484388888888887</v>
      </c>
      <c r="O10" s="15">
        <f>N10*8</f>
        <v>139.8751111111111</v>
      </c>
      <c r="P10" s="15">
        <v>0</v>
      </c>
    </row>
    <row r="11" spans="1:16" x14ac:dyDescent="0.25">
      <c r="A11" s="3" t="s">
        <v>20</v>
      </c>
      <c r="B11" s="12">
        <v>36</v>
      </c>
      <c r="C11" s="12">
        <v>180</v>
      </c>
      <c r="D11" s="12">
        <v>15</v>
      </c>
      <c r="E11" s="12" t="s">
        <v>15</v>
      </c>
      <c r="F11" s="5">
        <v>11.97338888888889</v>
      </c>
      <c r="G11" s="6">
        <f t="shared" si="4"/>
        <v>2155.21</v>
      </c>
      <c r="H11" s="5">
        <v>303.60000000000002</v>
      </c>
      <c r="I11" s="5">
        <v>0</v>
      </c>
      <c r="J11" s="6">
        <f t="shared" si="0"/>
        <v>0</v>
      </c>
      <c r="K11" s="5">
        <f t="shared" si="6"/>
        <v>141</v>
      </c>
      <c r="L11" s="3">
        <f t="shared" si="1"/>
        <v>403.5</v>
      </c>
      <c r="M11" s="7">
        <f t="shared" si="2"/>
        <v>3003.31</v>
      </c>
      <c r="N11" s="7">
        <f t="shared" si="3"/>
        <v>16.685055555555554</v>
      </c>
      <c r="O11" s="7">
        <v>0</v>
      </c>
      <c r="P11" s="7">
        <f t="shared" si="5"/>
        <v>200.22066666666666</v>
      </c>
    </row>
    <row r="12" spans="1:16" x14ac:dyDescent="0.25">
      <c r="A12" s="4" t="s">
        <v>20</v>
      </c>
      <c r="B12" s="13">
        <v>36</v>
      </c>
      <c r="C12" s="13">
        <v>180</v>
      </c>
      <c r="D12" s="13">
        <v>15</v>
      </c>
      <c r="E12" s="13" t="s">
        <v>18</v>
      </c>
      <c r="F12" s="8">
        <v>11.97338888888889</v>
      </c>
      <c r="G12" s="9">
        <f t="shared" si="4"/>
        <v>2155.21</v>
      </c>
      <c r="H12" s="8">
        <v>303.60000000000002</v>
      </c>
      <c r="I12" s="8">
        <v>0</v>
      </c>
      <c r="J12" s="9">
        <f t="shared" si="0"/>
        <v>287.36133333333333</v>
      </c>
      <c r="K12" s="9">
        <f t="shared" si="6"/>
        <v>141</v>
      </c>
      <c r="L12" s="4">
        <f t="shared" si="1"/>
        <v>403.5</v>
      </c>
      <c r="M12" s="10">
        <f t="shared" si="2"/>
        <v>3290.6713333333332</v>
      </c>
      <c r="N12" s="10">
        <f t="shared" si="3"/>
        <v>18.281507407407407</v>
      </c>
      <c r="O12" s="15">
        <v>0</v>
      </c>
      <c r="P12" s="15">
        <f t="shared" si="5"/>
        <v>219.3780888888889</v>
      </c>
    </row>
    <row r="13" spans="1:16" x14ac:dyDescent="0.25">
      <c r="A13" s="3" t="s">
        <v>20</v>
      </c>
      <c r="B13" s="12">
        <v>36</v>
      </c>
      <c r="C13" s="12">
        <v>180</v>
      </c>
      <c r="D13" s="12">
        <v>15</v>
      </c>
      <c r="E13" s="12" t="s">
        <v>15</v>
      </c>
      <c r="F13" s="5">
        <v>11.97338888888889</v>
      </c>
      <c r="G13" s="6">
        <f t="shared" ref="G13:G14" si="7">F13*C13</f>
        <v>2155.21</v>
      </c>
      <c r="H13" s="5">
        <v>0</v>
      </c>
      <c r="I13" s="5">
        <f>G13*30%</f>
        <v>646.56299999999999</v>
      </c>
      <c r="J13" s="6">
        <f t="shared" si="0"/>
        <v>0</v>
      </c>
      <c r="K13" s="5">
        <f t="shared" si="6"/>
        <v>141</v>
      </c>
      <c r="L13" s="3">
        <f t="shared" ref="L13:L14" si="8">26.9*D13</f>
        <v>403.5</v>
      </c>
      <c r="M13" s="7">
        <f t="shared" ref="M13:M14" si="9">SUM(G13:L13)</f>
        <v>3346.2730000000001</v>
      </c>
      <c r="N13" s="7">
        <f t="shared" ref="N13:N14" si="10">M13/C13</f>
        <v>18.590405555555556</v>
      </c>
      <c r="O13" s="7">
        <v>0</v>
      </c>
      <c r="P13" s="7">
        <f t="shared" ref="P13:P14" si="11">N13*12</f>
        <v>223.08486666666667</v>
      </c>
    </row>
    <row r="14" spans="1:16" x14ac:dyDescent="0.25">
      <c r="A14" s="4" t="s">
        <v>20</v>
      </c>
      <c r="B14" s="13">
        <v>36</v>
      </c>
      <c r="C14" s="13">
        <v>180</v>
      </c>
      <c r="D14" s="13">
        <v>15</v>
      </c>
      <c r="E14" s="13" t="s">
        <v>18</v>
      </c>
      <c r="F14" s="8">
        <v>11.97338888888889</v>
      </c>
      <c r="G14" s="9">
        <f t="shared" si="7"/>
        <v>2155.21</v>
      </c>
      <c r="H14" s="8">
        <v>0</v>
      </c>
      <c r="I14" s="8">
        <f>G14*30%</f>
        <v>646.56299999999999</v>
      </c>
      <c r="J14" s="9">
        <f t="shared" si="0"/>
        <v>287.36133333333333</v>
      </c>
      <c r="K14" s="9">
        <f t="shared" si="6"/>
        <v>141</v>
      </c>
      <c r="L14" s="4">
        <f t="shared" si="8"/>
        <v>403.5</v>
      </c>
      <c r="M14" s="10">
        <f t="shared" si="9"/>
        <v>3633.6343333333334</v>
      </c>
      <c r="N14" s="10">
        <f t="shared" si="10"/>
        <v>20.186857407407409</v>
      </c>
      <c r="O14" s="15">
        <v>0</v>
      </c>
      <c r="P14" s="15">
        <f t="shared" si="11"/>
        <v>242.24228888888891</v>
      </c>
    </row>
    <row r="15" spans="1:16" x14ac:dyDescent="0.25">
      <c r="A15" s="3" t="s">
        <v>21</v>
      </c>
      <c r="B15" s="12">
        <v>30</v>
      </c>
      <c r="C15" s="12">
        <v>150</v>
      </c>
      <c r="D15" s="12">
        <v>22</v>
      </c>
      <c r="E15" s="12" t="s">
        <v>15</v>
      </c>
      <c r="F15" s="5">
        <v>8.2822499999999994</v>
      </c>
      <c r="G15" s="6">
        <f t="shared" si="4"/>
        <v>1242.3374999999999</v>
      </c>
      <c r="H15" s="5">
        <v>303.60000000000002</v>
      </c>
      <c r="I15" s="5">
        <v>0</v>
      </c>
      <c r="J15" s="6">
        <f t="shared" si="0"/>
        <v>0</v>
      </c>
      <c r="K15" s="5">
        <f t="shared" si="6"/>
        <v>206.8</v>
      </c>
      <c r="L15" s="3">
        <f t="shared" si="1"/>
        <v>591.79999999999995</v>
      </c>
      <c r="M15" s="7">
        <f t="shared" si="2"/>
        <v>2344.5374999999999</v>
      </c>
      <c r="N15" s="7">
        <f t="shared" si="3"/>
        <v>15.63025</v>
      </c>
      <c r="O15" s="7">
        <v>0</v>
      </c>
      <c r="P15" s="7">
        <f t="shared" si="5"/>
        <v>187.56299999999999</v>
      </c>
    </row>
    <row r="16" spans="1:16" x14ac:dyDescent="0.25">
      <c r="A16" s="4" t="s">
        <v>22</v>
      </c>
      <c r="B16" s="13">
        <v>40</v>
      </c>
      <c r="C16" s="13">
        <v>200</v>
      </c>
      <c r="D16" s="13">
        <v>22</v>
      </c>
      <c r="E16" s="13" t="s">
        <v>15</v>
      </c>
      <c r="F16" s="8">
        <v>11.97338888888889</v>
      </c>
      <c r="G16" s="9">
        <f t="shared" si="4"/>
        <v>2394.6777777777779</v>
      </c>
      <c r="H16" s="8">
        <v>303.60000000000002</v>
      </c>
      <c r="I16" s="8">
        <v>0</v>
      </c>
      <c r="J16" s="9">
        <f t="shared" si="0"/>
        <v>0</v>
      </c>
      <c r="K16" s="9">
        <f t="shared" si="6"/>
        <v>206.8</v>
      </c>
      <c r="L16" s="4">
        <f t="shared" si="1"/>
        <v>591.79999999999995</v>
      </c>
      <c r="M16" s="10">
        <f t="shared" si="2"/>
        <v>3496.8777777777777</v>
      </c>
      <c r="N16" s="10">
        <f t="shared" si="3"/>
        <v>17.484388888888887</v>
      </c>
      <c r="O16" s="15">
        <f>N16*8</f>
        <v>139.8751111111111</v>
      </c>
      <c r="P16" s="15">
        <v>0</v>
      </c>
    </row>
    <row r="17" spans="1:16" x14ac:dyDescent="0.25">
      <c r="A17" s="3" t="s">
        <v>22</v>
      </c>
      <c r="B17" s="12">
        <v>30</v>
      </c>
      <c r="C17" s="12">
        <v>150</v>
      </c>
      <c r="D17" s="12">
        <v>22</v>
      </c>
      <c r="E17" s="12" t="s">
        <v>15</v>
      </c>
      <c r="F17" s="5">
        <v>11.97338888888889</v>
      </c>
      <c r="G17" s="6">
        <f t="shared" si="4"/>
        <v>1796.0083333333334</v>
      </c>
      <c r="H17" s="5">
        <v>303.60000000000002</v>
      </c>
      <c r="I17" s="5">
        <v>0</v>
      </c>
      <c r="J17" s="6">
        <f t="shared" si="0"/>
        <v>0</v>
      </c>
      <c r="K17" s="5">
        <f t="shared" si="6"/>
        <v>206.8</v>
      </c>
      <c r="L17" s="3">
        <f t="shared" si="1"/>
        <v>591.79999999999995</v>
      </c>
      <c r="M17" s="7">
        <f t="shared" si="2"/>
        <v>2898.2083333333339</v>
      </c>
      <c r="N17" s="7">
        <f t="shared" si="3"/>
        <v>19.321388888888894</v>
      </c>
      <c r="O17" s="7">
        <v>0</v>
      </c>
      <c r="P17" s="7">
        <f t="shared" si="5"/>
        <v>231.85666666666674</v>
      </c>
    </row>
    <row r="18" spans="1:16" x14ac:dyDescent="0.25">
      <c r="A18" s="4" t="s">
        <v>23</v>
      </c>
      <c r="B18" s="13">
        <v>20</v>
      </c>
      <c r="C18" s="13">
        <v>100</v>
      </c>
      <c r="D18" s="13">
        <v>22</v>
      </c>
      <c r="E18" s="13" t="s">
        <v>15</v>
      </c>
      <c r="F18" s="8">
        <v>29.820333333333334</v>
      </c>
      <c r="G18" s="9">
        <f t="shared" si="4"/>
        <v>2982.0333333333333</v>
      </c>
      <c r="H18" s="8">
        <v>303.60000000000002</v>
      </c>
      <c r="I18" s="8">
        <v>0</v>
      </c>
      <c r="J18" s="9">
        <f t="shared" si="0"/>
        <v>0</v>
      </c>
      <c r="K18" s="9">
        <f t="shared" si="6"/>
        <v>206.8</v>
      </c>
      <c r="L18" s="4">
        <f t="shared" si="1"/>
        <v>591.79999999999995</v>
      </c>
      <c r="M18" s="10">
        <f t="shared" si="2"/>
        <v>4084.2333333333336</v>
      </c>
      <c r="N18" s="10">
        <f t="shared" si="3"/>
        <v>40.842333333333336</v>
      </c>
      <c r="O18" s="15">
        <v>0</v>
      </c>
      <c r="P18" s="15">
        <f t="shared" si="5"/>
        <v>490.10800000000006</v>
      </c>
    </row>
    <row r="19" spans="1:16" x14ac:dyDescent="0.25">
      <c r="A19" s="3" t="s">
        <v>24</v>
      </c>
      <c r="B19" s="12">
        <v>40</v>
      </c>
      <c r="C19" s="12">
        <v>200</v>
      </c>
      <c r="D19" s="12">
        <v>22</v>
      </c>
      <c r="E19" s="12" t="s">
        <v>15</v>
      </c>
      <c r="F19" s="5">
        <v>24.72</v>
      </c>
      <c r="G19" s="6">
        <f t="shared" si="4"/>
        <v>4944</v>
      </c>
      <c r="H19" s="5">
        <v>303.60000000000002</v>
      </c>
      <c r="I19" s="5">
        <v>0</v>
      </c>
      <c r="J19" s="6">
        <f t="shared" si="0"/>
        <v>0</v>
      </c>
      <c r="K19" s="5">
        <f t="shared" si="6"/>
        <v>206.8</v>
      </c>
      <c r="L19" s="3">
        <f t="shared" si="1"/>
        <v>591.79999999999995</v>
      </c>
      <c r="M19" s="7">
        <f t="shared" si="2"/>
        <v>6046.2000000000007</v>
      </c>
      <c r="N19" s="7">
        <f t="shared" si="3"/>
        <v>30.231000000000005</v>
      </c>
      <c r="O19" s="7">
        <f>N19*8</f>
        <v>241.84800000000004</v>
      </c>
      <c r="P19" s="7">
        <v>0</v>
      </c>
    </row>
    <row r="20" spans="1:16" x14ac:dyDescent="0.25">
      <c r="A20" s="4" t="s">
        <v>24</v>
      </c>
      <c r="B20" s="13">
        <v>30</v>
      </c>
      <c r="C20" s="13">
        <v>150</v>
      </c>
      <c r="D20" s="13">
        <v>22</v>
      </c>
      <c r="E20" s="13" t="s">
        <v>15</v>
      </c>
      <c r="F20" s="8">
        <v>24.72</v>
      </c>
      <c r="G20" s="9">
        <f t="shared" si="4"/>
        <v>3708</v>
      </c>
      <c r="H20" s="8">
        <v>303.60000000000002</v>
      </c>
      <c r="I20" s="8">
        <v>0</v>
      </c>
      <c r="J20" s="9">
        <f t="shared" si="0"/>
        <v>0</v>
      </c>
      <c r="K20" s="9">
        <f t="shared" si="6"/>
        <v>206.8</v>
      </c>
      <c r="L20" s="4">
        <f t="shared" si="1"/>
        <v>591.79999999999995</v>
      </c>
      <c r="M20" s="10">
        <f t="shared" si="2"/>
        <v>4810.2</v>
      </c>
      <c r="N20" s="10">
        <f t="shared" si="3"/>
        <v>32.067999999999998</v>
      </c>
      <c r="O20" s="15">
        <v>0</v>
      </c>
      <c r="P20" s="15">
        <f t="shared" si="5"/>
        <v>384.81599999999997</v>
      </c>
    </row>
    <row r="21" spans="1:16" x14ac:dyDescent="0.25">
      <c r="A21" s="3" t="s">
        <v>25</v>
      </c>
      <c r="B21" s="12">
        <v>40</v>
      </c>
      <c r="C21" s="12">
        <v>200</v>
      </c>
      <c r="D21" s="12">
        <v>22</v>
      </c>
      <c r="E21" s="12" t="s">
        <v>15</v>
      </c>
      <c r="F21" s="5">
        <v>8.9800500000000003</v>
      </c>
      <c r="G21" s="6">
        <f t="shared" si="4"/>
        <v>1796.01</v>
      </c>
      <c r="H21" s="5">
        <v>303.60000000000002</v>
      </c>
      <c r="I21" s="5">
        <v>0</v>
      </c>
      <c r="J21" s="6">
        <f t="shared" si="0"/>
        <v>0</v>
      </c>
      <c r="K21" s="5">
        <f t="shared" si="6"/>
        <v>206.8</v>
      </c>
      <c r="L21" s="3">
        <f t="shared" si="1"/>
        <v>591.79999999999995</v>
      </c>
      <c r="M21" s="7">
        <f t="shared" si="2"/>
        <v>2898.21</v>
      </c>
      <c r="N21" s="7">
        <f t="shared" si="3"/>
        <v>14.49105</v>
      </c>
      <c r="O21" s="7">
        <f t="shared" ref="O21:O22" si="12">N21*8</f>
        <v>115.9284</v>
      </c>
      <c r="P21" s="7">
        <v>0</v>
      </c>
    </row>
    <row r="22" spans="1:16" x14ac:dyDescent="0.25">
      <c r="A22" s="4" t="s">
        <v>26</v>
      </c>
      <c r="B22" s="13">
        <v>40</v>
      </c>
      <c r="C22" s="13">
        <v>200</v>
      </c>
      <c r="D22" s="13">
        <v>22</v>
      </c>
      <c r="E22" s="13" t="s">
        <v>15</v>
      </c>
      <c r="F22" s="8">
        <v>18.024999999999999</v>
      </c>
      <c r="G22" s="9">
        <f t="shared" si="4"/>
        <v>3604.9999999999995</v>
      </c>
      <c r="H22" s="8">
        <v>303.60000000000002</v>
      </c>
      <c r="I22" s="8">
        <v>0</v>
      </c>
      <c r="J22" s="9">
        <f t="shared" si="0"/>
        <v>0</v>
      </c>
      <c r="K22" s="9">
        <f t="shared" si="6"/>
        <v>206.8</v>
      </c>
      <c r="L22" s="4">
        <f t="shared" si="1"/>
        <v>591.79999999999995</v>
      </c>
      <c r="M22" s="10">
        <f t="shared" si="2"/>
        <v>4707.2</v>
      </c>
      <c r="N22" s="10">
        <f t="shared" si="3"/>
        <v>23.535999999999998</v>
      </c>
      <c r="O22" s="15">
        <f t="shared" si="12"/>
        <v>188.28799999999998</v>
      </c>
      <c r="P22" s="15">
        <v>0</v>
      </c>
    </row>
    <row r="23" spans="1:16" x14ac:dyDescent="0.25">
      <c r="A23" s="3" t="s">
        <v>27</v>
      </c>
      <c r="B23" s="12">
        <v>30</v>
      </c>
      <c r="C23" s="12">
        <v>150</v>
      </c>
      <c r="D23" s="12">
        <v>22</v>
      </c>
      <c r="E23" s="12" t="s">
        <v>15</v>
      </c>
      <c r="F23" s="5">
        <v>29.820333333333334</v>
      </c>
      <c r="G23" s="6">
        <f t="shared" si="4"/>
        <v>4473.05</v>
      </c>
      <c r="H23" s="5">
        <v>303.60000000000002</v>
      </c>
      <c r="I23" s="5">
        <v>0</v>
      </c>
      <c r="J23" s="6">
        <f t="shared" si="0"/>
        <v>0</v>
      </c>
      <c r="K23" s="5">
        <f t="shared" si="6"/>
        <v>206.8</v>
      </c>
      <c r="L23" s="3">
        <f t="shared" si="1"/>
        <v>591.79999999999995</v>
      </c>
      <c r="M23" s="7">
        <f t="shared" si="2"/>
        <v>5575.2500000000009</v>
      </c>
      <c r="N23" s="7">
        <f t="shared" si="3"/>
        <v>37.168333333333337</v>
      </c>
      <c r="O23" s="7">
        <v>0</v>
      </c>
      <c r="P23" s="7">
        <f t="shared" si="5"/>
        <v>446.02000000000004</v>
      </c>
    </row>
    <row r="24" spans="1:16" x14ac:dyDescent="0.25">
      <c r="A24" s="4" t="s">
        <v>28</v>
      </c>
      <c r="B24" s="13">
        <v>40</v>
      </c>
      <c r="C24" s="13">
        <v>200</v>
      </c>
      <c r="D24" s="13">
        <v>22</v>
      </c>
      <c r="E24" s="13" t="s">
        <v>15</v>
      </c>
      <c r="F24" s="8">
        <v>7.21</v>
      </c>
      <c r="G24" s="9">
        <f t="shared" si="4"/>
        <v>1442</v>
      </c>
      <c r="H24" s="8">
        <v>303.60000000000002</v>
      </c>
      <c r="I24" s="8">
        <v>0</v>
      </c>
      <c r="J24" s="9">
        <f t="shared" si="0"/>
        <v>0</v>
      </c>
      <c r="K24" s="9">
        <f t="shared" si="6"/>
        <v>206.8</v>
      </c>
      <c r="L24" s="4">
        <f t="shared" si="1"/>
        <v>591.79999999999995</v>
      </c>
      <c r="M24" s="10">
        <f t="shared" si="2"/>
        <v>2544.1999999999998</v>
      </c>
      <c r="N24" s="10">
        <f t="shared" si="3"/>
        <v>12.720999999999998</v>
      </c>
      <c r="O24" s="15">
        <f>N24*8</f>
        <v>101.76799999999999</v>
      </c>
      <c r="P24" s="15">
        <v>0</v>
      </c>
    </row>
    <row r="25" spans="1:16" x14ac:dyDescent="0.25">
      <c r="A25" s="3" t="s">
        <v>28</v>
      </c>
      <c r="B25" s="12">
        <v>36</v>
      </c>
      <c r="C25" s="12">
        <v>180</v>
      </c>
      <c r="D25" s="12">
        <v>15</v>
      </c>
      <c r="E25" s="12" t="s">
        <v>15</v>
      </c>
      <c r="F25" s="5">
        <v>7.21</v>
      </c>
      <c r="G25" s="6">
        <f t="shared" si="4"/>
        <v>1297.8</v>
      </c>
      <c r="H25" s="5">
        <v>303.60000000000002</v>
      </c>
      <c r="I25" s="5">
        <v>0</v>
      </c>
      <c r="J25" s="6">
        <f t="shared" si="0"/>
        <v>0</v>
      </c>
      <c r="K25" s="5">
        <f t="shared" si="6"/>
        <v>141</v>
      </c>
      <c r="L25" s="3">
        <f t="shared" si="1"/>
        <v>403.5</v>
      </c>
      <c r="M25" s="7">
        <f t="shared" si="2"/>
        <v>2145.9</v>
      </c>
      <c r="N25" s="7">
        <f t="shared" si="3"/>
        <v>11.921666666666667</v>
      </c>
      <c r="O25" s="7">
        <v>0</v>
      </c>
      <c r="P25" s="7">
        <f t="shared" si="5"/>
        <v>143.06</v>
      </c>
    </row>
    <row r="26" spans="1:16" x14ac:dyDescent="0.25">
      <c r="A26" s="4" t="s">
        <v>28</v>
      </c>
      <c r="B26" s="13">
        <v>36</v>
      </c>
      <c r="C26" s="13">
        <v>180</v>
      </c>
      <c r="D26" s="13">
        <v>15</v>
      </c>
      <c r="E26" s="13" t="s">
        <v>18</v>
      </c>
      <c r="F26" s="8">
        <v>7.21</v>
      </c>
      <c r="G26" s="9">
        <f t="shared" si="4"/>
        <v>1297.8</v>
      </c>
      <c r="H26" s="8">
        <v>303.60000000000002</v>
      </c>
      <c r="I26" s="8">
        <v>0</v>
      </c>
      <c r="J26" s="9">
        <f t="shared" si="0"/>
        <v>173.04000000000002</v>
      </c>
      <c r="K26" s="9">
        <f t="shared" si="6"/>
        <v>141</v>
      </c>
      <c r="L26" s="4">
        <f t="shared" si="1"/>
        <v>403.5</v>
      </c>
      <c r="M26" s="10">
        <f t="shared" si="2"/>
        <v>2318.94</v>
      </c>
      <c r="N26" s="10">
        <f t="shared" si="3"/>
        <v>12.883000000000001</v>
      </c>
      <c r="O26" s="15">
        <v>0</v>
      </c>
      <c r="P26" s="15">
        <f t="shared" si="5"/>
        <v>154.596</v>
      </c>
    </row>
    <row r="27" spans="1:16" x14ac:dyDescent="0.25">
      <c r="A27" s="3" t="s">
        <v>29</v>
      </c>
      <c r="B27" s="12">
        <v>36</v>
      </c>
      <c r="C27" s="12">
        <v>180</v>
      </c>
      <c r="D27" s="12">
        <v>15</v>
      </c>
      <c r="E27" s="12" t="s">
        <v>15</v>
      </c>
      <c r="F27" s="5">
        <v>11.9734</v>
      </c>
      <c r="G27" s="6">
        <f t="shared" si="4"/>
        <v>2155.212</v>
      </c>
      <c r="H27" s="5">
        <v>303.60000000000002</v>
      </c>
      <c r="I27" s="5">
        <v>0</v>
      </c>
      <c r="J27" s="6">
        <f t="shared" si="0"/>
        <v>0</v>
      </c>
      <c r="K27" s="5">
        <f t="shared" si="6"/>
        <v>141</v>
      </c>
      <c r="L27" s="3">
        <f t="shared" si="1"/>
        <v>403.5</v>
      </c>
      <c r="M27" s="7">
        <f t="shared" si="2"/>
        <v>3003.3119999999999</v>
      </c>
      <c r="N27" s="7">
        <f t="shared" si="3"/>
        <v>16.685066666666668</v>
      </c>
      <c r="O27" s="7">
        <v>0</v>
      </c>
      <c r="P27" s="7">
        <f t="shared" si="5"/>
        <v>200.2208</v>
      </c>
    </row>
    <row r="28" spans="1:16" x14ac:dyDescent="0.25">
      <c r="A28" s="4" t="s">
        <v>30</v>
      </c>
      <c r="B28" s="13">
        <v>20</v>
      </c>
      <c r="C28" s="13">
        <v>100</v>
      </c>
      <c r="D28" s="13">
        <v>22</v>
      </c>
      <c r="E28" s="13" t="s">
        <v>15</v>
      </c>
      <c r="F28" s="8">
        <v>29.820266666666665</v>
      </c>
      <c r="G28" s="9">
        <f t="shared" si="4"/>
        <v>2982.0266666666666</v>
      </c>
      <c r="H28" s="8">
        <v>303.60000000000002</v>
      </c>
      <c r="I28" s="8">
        <v>0</v>
      </c>
      <c r="J28" s="9">
        <f t="shared" si="0"/>
        <v>0</v>
      </c>
      <c r="K28" s="9">
        <f t="shared" si="6"/>
        <v>206.8</v>
      </c>
      <c r="L28" s="4">
        <f t="shared" si="1"/>
        <v>591.79999999999995</v>
      </c>
      <c r="M28" s="10">
        <f t="shared" si="2"/>
        <v>4084.2266666666665</v>
      </c>
      <c r="N28" s="10">
        <f t="shared" si="3"/>
        <v>40.842266666666667</v>
      </c>
      <c r="O28" s="15">
        <v>0</v>
      </c>
      <c r="P28" s="15">
        <f t="shared" si="5"/>
        <v>490.10720000000003</v>
      </c>
    </row>
    <row r="29" spans="1:16" x14ac:dyDescent="0.25">
      <c r="A29" s="3" t="s">
        <v>31</v>
      </c>
      <c r="B29" s="12">
        <v>40</v>
      </c>
      <c r="C29" s="12">
        <v>200</v>
      </c>
      <c r="D29" s="12">
        <v>22</v>
      </c>
      <c r="E29" s="12" t="s">
        <v>15</v>
      </c>
      <c r="F29" s="5">
        <v>24.701599999999999</v>
      </c>
      <c r="G29" s="6">
        <f t="shared" si="4"/>
        <v>4940.32</v>
      </c>
      <c r="H29" s="5">
        <v>303.60000000000002</v>
      </c>
      <c r="I29" s="5">
        <v>0</v>
      </c>
      <c r="J29" s="6">
        <f t="shared" si="0"/>
        <v>0</v>
      </c>
      <c r="K29" s="5">
        <f t="shared" si="6"/>
        <v>206.8</v>
      </c>
      <c r="L29" s="3">
        <f t="shared" si="1"/>
        <v>591.79999999999995</v>
      </c>
      <c r="M29" s="7">
        <f t="shared" si="2"/>
        <v>6042.52</v>
      </c>
      <c r="N29" s="7">
        <f t="shared" si="3"/>
        <v>30.212600000000002</v>
      </c>
      <c r="O29" s="7">
        <f t="shared" ref="O29:O33" si="13">N29*8</f>
        <v>241.70080000000002</v>
      </c>
      <c r="P29" s="7">
        <v>0</v>
      </c>
    </row>
    <row r="30" spans="1:16" x14ac:dyDescent="0.25">
      <c r="A30" s="4" t="s">
        <v>32</v>
      </c>
      <c r="B30" s="13">
        <v>40</v>
      </c>
      <c r="C30" s="13">
        <v>200</v>
      </c>
      <c r="D30" s="13">
        <v>22</v>
      </c>
      <c r="E30" s="13" t="s">
        <v>15</v>
      </c>
      <c r="F30" s="8">
        <v>79.283000000000001</v>
      </c>
      <c r="G30" s="9">
        <f t="shared" si="4"/>
        <v>15856.6</v>
      </c>
      <c r="H30" s="8">
        <v>303.60000000000002</v>
      </c>
      <c r="I30" s="8">
        <v>0</v>
      </c>
      <c r="J30" s="9">
        <f t="shared" si="0"/>
        <v>0</v>
      </c>
      <c r="K30" s="9">
        <f t="shared" si="6"/>
        <v>206.8</v>
      </c>
      <c r="L30" s="4">
        <f t="shared" si="1"/>
        <v>591.79999999999995</v>
      </c>
      <c r="M30" s="10">
        <f t="shared" si="2"/>
        <v>16958.8</v>
      </c>
      <c r="N30" s="10">
        <f t="shared" si="3"/>
        <v>84.793999999999997</v>
      </c>
      <c r="O30" s="15">
        <f t="shared" si="13"/>
        <v>678.35199999999998</v>
      </c>
      <c r="P30" s="15">
        <v>0</v>
      </c>
    </row>
    <row r="31" spans="1:16" x14ac:dyDescent="0.25">
      <c r="A31" s="3" t="s">
        <v>33</v>
      </c>
      <c r="B31" s="12">
        <v>40</v>
      </c>
      <c r="C31" s="12">
        <v>200</v>
      </c>
      <c r="D31" s="12">
        <v>22</v>
      </c>
      <c r="E31" s="12" t="s">
        <v>15</v>
      </c>
      <c r="F31" s="5">
        <v>36.049999999999997</v>
      </c>
      <c r="G31" s="6">
        <f t="shared" si="4"/>
        <v>7209.9999999999991</v>
      </c>
      <c r="H31" s="5">
        <v>303.60000000000002</v>
      </c>
      <c r="I31" s="5">
        <v>0</v>
      </c>
      <c r="J31" s="6">
        <f t="shared" si="0"/>
        <v>0</v>
      </c>
      <c r="K31" s="5">
        <f t="shared" si="6"/>
        <v>206.8</v>
      </c>
      <c r="L31" s="3">
        <f t="shared" si="1"/>
        <v>591.79999999999995</v>
      </c>
      <c r="M31" s="7">
        <f t="shared" si="2"/>
        <v>8312.1999999999989</v>
      </c>
      <c r="N31" s="7">
        <f t="shared" si="3"/>
        <v>41.560999999999993</v>
      </c>
      <c r="O31" s="7">
        <f t="shared" si="13"/>
        <v>332.48799999999994</v>
      </c>
      <c r="P31" s="7">
        <v>0</v>
      </c>
    </row>
    <row r="32" spans="1:16" x14ac:dyDescent="0.25">
      <c r="A32" s="4" t="s">
        <v>34</v>
      </c>
      <c r="B32" s="13">
        <v>40</v>
      </c>
      <c r="C32" s="13">
        <v>200</v>
      </c>
      <c r="D32" s="13">
        <v>22</v>
      </c>
      <c r="E32" s="13" t="s">
        <v>15</v>
      </c>
      <c r="F32" s="8">
        <v>24.701599999999999</v>
      </c>
      <c r="G32" s="9">
        <f t="shared" si="4"/>
        <v>4940.32</v>
      </c>
      <c r="H32" s="8">
        <v>303.60000000000002</v>
      </c>
      <c r="I32" s="8">
        <v>0</v>
      </c>
      <c r="J32" s="9">
        <f t="shared" si="0"/>
        <v>0</v>
      </c>
      <c r="K32" s="9">
        <f t="shared" si="6"/>
        <v>206.8</v>
      </c>
      <c r="L32" s="4">
        <f t="shared" si="1"/>
        <v>591.79999999999995</v>
      </c>
      <c r="M32" s="10">
        <f t="shared" si="2"/>
        <v>6042.52</v>
      </c>
      <c r="N32" s="10">
        <f t="shared" si="3"/>
        <v>30.212600000000002</v>
      </c>
      <c r="O32" s="15">
        <f t="shared" si="13"/>
        <v>241.70080000000002</v>
      </c>
      <c r="P32" s="15">
        <v>0</v>
      </c>
    </row>
    <row r="33" spans="1:16" x14ac:dyDescent="0.25">
      <c r="A33" s="3" t="s">
        <v>35</v>
      </c>
      <c r="B33" s="12">
        <v>40</v>
      </c>
      <c r="C33" s="12">
        <v>200</v>
      </c>
      <c r="D33" s="12">
        <v>22</v>
      </c>
      <c r="E33" s="12" t="s">
        <v>15</v>
      </c>
      <c r="F33" s="5">
        <v>7.21</v>
      </c>
      <c r="G33" s="6">
        <f t="shared" si="4"/>
        <v>1442</v>
      </c>
      <c r="H33" s="5">
        <v>303.60000000000002</v>
      </c>
      <c r="I33" s="5">
        <v>0</v>
      </c>
      <c r="J33" s="6">
        <f t="shared" si="0"/>
        <v>0</v>
      </c>
      <c r="K33" s="5">
        <f t="shared" si="6"/>
        <v>206.8</v>
      </c>
      <c r="L33" s="3">
        <f t="shared" si="1"/>
        <v>591.79999999999995</v>
      </c>
      <c r="M33" s="7">
        <f t="shared" si="2"/>
        <v>2544.1999999999998</v>
      </c>
      <c r="N33" s="7">
        <f t="shared" si="3"/>
        <v>12.720999999999998</v>
      </c>
      <c r="O33" s="7">
        <f t="shared" si="13"/>
        <v>101.76799999999999</v>
      </c>
      <c r="P33" s="7">
        <v>0</v>
      </c>
    </row>
    <row r="34" spans="1:16" x14ac:dyDescent="0.25">
      <c r="A34" s="4" t="s">
        <v>35</v>
      </c>
      <c r="B34" s="13">
        <v>36</v>
      </c>
      <c r="C34" s="13">
        <v>180</v>
      </c>
      <c r="D34" s="13">
        <v>15</v>
      </c>
      <c r="E34" s="13" t="s">
        <v>15</v>
      </c>
      <c r="F34" s="8">
        <v>7.21</v>
      </c>
      <c r="G34" s="9">
        <f t="shared" si="4"/>
        <v>1297.8</v>
      </c>
      <c r="H34" s="8">
        <v>303.60000000000002</v>
      </c>
      <c r="I34" s="8">
        <v>0</v>
      </c>
      <c r="J34" s="9">
        <f t="shared" si="0"/>
        <v>0</v>
      </c>
      <c r="K34" s="9">
        <f t="shared" si="6"/>
        <v>141</v>
      </c>
      <c r="L34" s="4">
        <f t="shared" si="1"/>
        <v>403.5</v>
      </c>
      <c r="M34" s="10">
        <f t="shared" si="2"/>
        <v>2145.9</v>
      </c>
      <c r="N34" s="10">
        <f t="shared" si="3"/>
        <v>11.921666666666667</v>
      </c>
      <c r="O34" s="15">
        <v>0</v>
      </c>
      <c r="P34" s="15">
        <f t="shared" si="5"/>
        <v>143.06</v>
      </c>
    </row>
    <row r="35" spans="1:16" x14ac:dyDescent="0.25">
      <c r="A35" s="3" t="s">
        <v>35</v>
      </c>
      <c r="B35" s="12">
        <v>36</v>
      </c>
      <c r="C35" s="12">
        <v>180</v>
      </c>
      <c r="D35" s="12">
        <v>15</v>
      </c>
      <c r="E35" s="12" t="s">
        <v>18</v>
      </c>
      <c r="F35" s="5">
        <v>7.21</v>
      </c>
      <c r="G35" s="6">
        <f t="shared" si="4"/>
        <v>1297.8</v>
      </c>
      <c r="H35" s="5">
        <v>303.60000000000002</v>
      </c>
      <c r="I35" s="5">
        <v>0</v>
      </c>
      <c r="J35" s="6">
        <f t="shared" si="0"/>
        <v>173.04000000000002</v>
      </c>
      <c r="K35" s="5">
        <f t="shared" si="6"/>
        <v>141</v>
      </c>
      <c r="L35" s="3">
        <f t="shared" si="1"/>
        <v>403.5</v>
      </c>
      <c r="M35" s="7">
        <f t="shared" si="2"/>
        <v>2318.94</v>
      </c>
      <c r="N35" s="7">
        <f t="shared" si="3"/>
        <v>12.883000000000001</v>
      </c>
      <c r="O35" s="7">
        <v>0</v>
      </c>
      <c r="P35" s="7">
        <f t="shared" si="5"/>
        <v>154.596</v>
      </c>
    </row>
    <row r="36" spans="1:16" x14ac:dyDescent="0.25">
      <c r="A36" s="4" t="s">
        <v>36</v>
      </c>
      <c r="B36" s="13">
        <v>36</v>
      </c>
      <c r="C36" s="13">
        <v>180</v>
      </c>
      <c r="D36" s="13">
        <v>15</v>
      </c>
      <c r="E36" s="13" t="s">
        <v>15</v>
      </c>
      <c r="F36" s="8">
        <v>8.8149444444444445</v>
      </c>
      <c r="G36" s="9">
        <f t="shared" si="4"/>
        <v>1586.69</v>
      </c>
      <c r="H36" s="8">
        <v>303.60000000000002</v>
      </c>
      <c r="I36" s="8">
        <v>0</v>
      </c>
      <c r="J36" s="9">
        <f t="shared" si="0"/>
        <v>0</v>
      </c>
      <c r="K36" s="9">
        <f t="shared" si="6"/>
        <v>141</v>
      </c>
      <c r="L36" s="4">
        <f t="shared" si="1"/>
        <v>403.5</v>
      </c>
      <c r="M36" s="10">
        <f t="shared" si="2"/>
        <v>2434.79</v>
      </c>
      <c r="N36" s="10">
        <f t="shared" si="3"/>
        <v>13.52661111111111</v>
      </c>
      <c r="O36" s="15">
        <v>0</v>
      </c>
      <c r="P36" s="15">
        <f t="shared" si="5"/>
        <v>162.31933333333333</v>
      </c>
    </row>
    <row r="37" spans="1:16" x14ac:dyDescent="0.25">
      <c r="A37" s="3" t="s">
        <v>37</v>
      </c>
      <c r="B37" s="12">
        <v>40</v>
      </c>
      <c r="C37" s="12">
        <v>200</v>
      </c>
      <c r="D37" s="12">
        <v>22</v>
      </c>
      <c r="E37" s="12" t="s">
        <v>15</v>
      </c>
      <c r="F37" s="5">
        <v>36.822499999999998</v>
      </c>
      <c r="G37" s="6">
        <f t="shared" si="4"/>
        <v>7364.5</v>
      </c>
      <c r="H37" s="5">
        <v>303.60000000000002</v>
      </c>
      <c r="I37" s="5">
        <v>0</v>
      </c>
      <c r="J37" s="6">
        <f t="shared" si="0"/>
        <v>0</v>
      </c>
      <c r="K37" s="5">
        <f t="shared" si="6"/>
        <v>206.8</v>
      </c>
      <c r="L37" s="3">
        <f t="shared" si="1"/>
        <v>591.79999999999995</v>
      </c>
      <c r="M37" s="7">
        <f t="shared" si="2"/>
        <v>8466.7000000000007</v>
      </c>
      <c r="N37" s="7">
        <f t="shared" si="3"/>
        <v>42.333500000000001</v>
      </c>
      <c r="O37" s="7">
        <f>N37*8</f>
        <v>338.66800000000001</v>
      </c>
      <c r="P37" s="7">
        <v>0</v>
      </c>
    </row>
    <row r="38" spans="1:16" x14ac:dyDescent="0.25">
      <c r="A38" s="4" t="s">
        <v>38</v>
      </c>
      <c r="B38" s="13">
        <v>30</v>
      </c>
      <c r="C38" s="13">
        <v>150</v>
      </c>
      <c r="D38" s="13">
        <v>22</v>
      </c>
      <c r="E38" s="13" t="s">
        <v>15</v>
      </c>
      <c r="F38" s="8">
        <v>29.820333333333334</v>
      </c>
      <c r="G38" s="9">
        <f t="shared" si="4"/>
        <v>4473.05</v>
      </c>
      <c r="H38" s="8">
        <v>303.60000000000002</v>
      </c>
      <c r="I38" s="8">
        <v>0</v>
      </c>
      <c r="J38" s="9">
        <f t="shared" si="0"/>
        <v>0</v>
      </c>
      <c r="K38" s="9">
        <f t="shared" si="6"/>
        <v>206.8</v>
      </c>
      <c r="L38" s="4">
        <f t="shared" si="1"/>
        <v>591.79999999999995</v>
      </c>
      <c r="M38" s="10">
        <f t="shared" si="2"/>
        <v>5575.2500000000009</v>
      </c>
      <c r="N38" s="10">
        <f t="shared" si="3"/>
        <v>37.168333333333337</v>
      </c>
      <c r="O38" s="15">
        <v>0</v>
      </c>
      <c r="P38" s="15">
        <f t="shared" si="5"/>
        <v>446.02000000000004</v>
      </c>
    </row>
    <row r="39" spans="1:16" x14ac:dyDescent="0.25">
      <c r="A39" s="3" t="s">
        <v>39</v>
      </c>
      <c r="B39" s="12">
        <v>40</v>
      </c>
      <c r="C39" s="12">
        <v>200</v>
      </c>
      <c r="D39" s="12">
        <v>22</v>
      </c>
      <c r="E39" s="12" t="s">
        <v>15</v>
      </c>
      <c r="F39" s="5">
        <v>30.410799999999998</v>
      </c>
      <c r="G39" s="6">
        <f t="shared" si="4"/>
        <v>6082.16</v>
      </c>
      <c r="H39" s="5">
        <v>303.60000000000002</v>
      </c>
      <c r="I39" s="5">
        <v>0</v>
      </c>
      <c r="J39" s="6">
        <f t="shared" si="0"/>
        <v>0</v>
      </c>
      <c r="K39" s="5">
        <f t="shared" si="6"/>
        <v>206.8</v>
      </c>
      <c r="L39" s="3">
        <f t="shared" si="1"/>
        <v>591.79999999999995</v>
      </c>
      <c r="M39" s="7">
        <f t="shared" si="2"/>
        <v>7184.3600000000006</v>
      </c>
      <c r="N39" s="7">
        <f t="shared" si="3"/>
        <v>35.921800000000005</v>
      </c>
      <c r="O39" s="7">
        <f t="shared" ref="O39:O41" si="14">N39*8</f>
        <v>287.37440000000004</v>
      </c>
      <c r="P39" s="7">
        <v>0</v>
      </c>
    </row>
    <row r="40" spans="1:16" x14ac:dyDescent="0.25">
      <c r="A40" s="4" t="s">
        <v>40</v>
      </c>
      <c r="B40" s="13">
        <v>40</v>
      </c>
      <c r="C40" s="13">
        <v>200</v>
      </c>
      <c r="D40" s="13">
        <v>11</v>
      </c>
      <c r="E40" s="13" t="s">
        <v>15</v>
      </c>
      <c r="F40" s="8">
        <v>30.410799999999998</v>
      </c>
      <c r="G40" s="9">
        <f t="shared" si="4"/>
        <v>6082.16</v>
      </c>
      <c r="H40" s="8">
        <v>303.60000000000002</v>
      </c>
      <c r="I40" s="8">
        <v>0</v>
      </c>
      <c r="J40" s="9">
        <f t="shared" si="0"/>
        <v>0</v>
      </c>
      <c r="K40" s="9">
        <f t="shared" si="6"/>
        <v>103.4</v>
      </c>
      <c r="L40" s="4">
        <f t="shared" si="1"/>
        <v>295.89999999999998</v>
      </c>
      <c r="M40" s="10">
        <f t="shared" si="2"/>
        <v>6785.0599999999995</v>
      </c>
      <c r="N40" s="10">
        <f>M40/132</f>
        <v>51.401969696969694</v>
      </c>
      <c r="O40" s="15">
        <f t="shared" si="14"/>
        <v>411.21575757575755</v>
      </c>
      <c r="P40" s="15">
        <f>N40*12</f>
        <v>616.8236363636363</v>
      </c>
    </row>
    <row r="41" spans="1:16" x14ac:dyDescent="0.25">
      <c r="A41" s="3" t="s">
        <v>40</v>
      </c>
      <c r="B41" s="12">
        <v>40</v>
      </c>
      <c r="C41" s="12">
        <v>200</v>
      </c>
      <c r="D41" s="12">
        <v>11</v>
      </c>
      <c r="E41" s="12" t="s">
        <v>18</v>
      </c>
      <c r="F41" s="5">
        <v>30.410799999999998</v>
      </c>
      <c r="G41" s="6">
        <f t="shared" si="4"/>
        <v>6082.16</v>
      </c>
      <c r="H41" s="5">
        <v>303.60000000000002</v>
      </c>
      <c r="I41" s="5">
        <v>0</v>
      </c>
      <c r="J41" s="6">
        <f t="shared" si="0"/>
        <v>535.23008000000004</v>
      </c>
      <c r="K41" s="5">
        <f t="shared" si="6"/>
        <v>103.4</v>
      </c>
      <c r="L41" s="3">
        <f t="shared" si="1"/>
        <v>295.89999999999998</v>
      </c>
      <c r="M41" s="7">
        <f t="shared" si="2"/>
        <v>7320.2900799999998</v>
      </c>
      <c r="N41" s="7">
        <f>M41/132</f>
        <v>55.456743030303031</v>
      </c>
      <c r="O41" s="7">
        <f t="shared" si="14"/>
        <v>443.65394424242425</v>
      </c>
      <c r="P41" s="15">
        <f>N41*12</f>
        <v>665.48091636363642</v>
      </c>
    </row>
    <row r="42" spans="1:16" x14ac:dyDescent="0.25">
      <c r="A42" s="4" t="s">
        <v>40</v>
      </c>
      <c r="B42" s="13">
        <v>30</v>
      </c>
      <c r="C42" s="13">
        <v>150</v>
      </c>
      <c r="D42" s="13">
        <v>11</v>
      </c>
      <c r="E42" s="13" t="s">
        <v>15</v>
      </c>
      <c r="F42" s="8">
        <v>30.410799999999998</v>
      </c>
      <c r="G42" s="9">
        <f t="shared" si="4"/>
        <v>4561.62</v>
      </c>
      <c r="H42" s="8">
        <v>303.60000000000002</v>
      </c>
      <c r="I42" s="8">
        <v>0</v>
      </c>
      <c r="J42" s="9">
        <f t="shared" si="0"/>
        <v>0</v>
      </c>
      <c r="K42" s="9">
        <f t="shared" si="6"/>
        <v>103.4</v>
      </c>
      <c r="L42" s="4">
        <f t="shared" si="1"/>
        <v>295.89999999999998</v>
      </c>
      <c r="M42" s="10">
        <f t="shared" si="2"/>
        <v>5264.5199999999995</v>
      </c>
      <c r="N42" s="10">
        <f>M42/132</f>
        <v>39.882727272727266</v>
      </c>
      <c r="O42" s="15">
        <v>0</v>
      </c>
      <c r="P42" s="15">
        <f t="shared" si="5"/>
        <v>478.59272727272719</v>
      </c>
    </row>
    <row r="43" spans="1:16" x14ac:dyDescent="0.25">
      <c r="A43" s="3" t="s">
        <v>40</v>
      </c>
      <c r="B43" s="12">
        <v>30</v>
      </c>
      <c r="C43" s="12">
        <v>150</v>
      </c>
      <c r="D43" s="12">
        <v>11</v>
      </c>
      <c r="E43" s="12" t="s">
        <v>18</v>
      </c>
      <c r="F43" s="5">
        <v>30.410799999999998</v>
      </c>
      <c r="G43" s="6">
        <f t="shared" si="4"/>
        <v>4561.62</v>
      </c>
      <c r="H43" s="5">
        <v>303.60000000000002</v>
      </c>
      <c r="I43" s="5">
        <v>0</v>
      </c>
      <c r="J43" s="6">
        <f t="shared" si="0"/>
        <v>535.23008000000004</v>
      </c>
      <c r="K43" s="5">
        <f t="shared" si="6"/>
        <v>103.4</v>
      </c>
      <c r="L43" s="3">
        <f t="shared" si="1"/>
        <v>295.89999999999998</v>
      </c>
      <c r="M43" s="7">
        <f t="shared" si="2"/>
        <v>5799.7500799999998</v>
      </c>
      <c r="N43" s="7">
        <f>M43/132</f>
        <v>43.937500606060603</v>
      </c>
      <c r="O43" s="7">
        <v>0</v>
      </c>
      <c r="P43" s="7">
        <f t="shared" si="5"/>
        <v>527.2500072727272</v>
      </c>
    </row>
    <row r="44" spans="1:16" x14ac:dyDescent="0.25">
      <c r="A44" s="4" t="s">
        <v>41</v>
      </c>
      <c r="B44" s="13">
        <v>40</v>
      </c>
      <c r="C44" s="13">
        <v>200</v>
      </c>
      <c r="D44" s="13">
        <v>22</v>
      </c>
      <c r="E44" s="13" t="s">
        <v>15</v>
      </c>
      <c r="F44" s="8">
        <v>31.3231</v>
      </c>
      <c r="G44" s="9">
        <f t="shared" si="4"/>
        <v>6264.62</v>
      </c>
      <c r="H44" s="8">
        <v>303.60000000000002</v>
      </c>
      <c r="I44" s="8">
        <v>0</v>
      </c>
      <c r="J44" s="9">
        <f t="shared" si="0"/>
        <v>0</v>
      </c>
      <c r="K44" s="9">
        <f t="shared" si="6"/>
        <v>206.8</v>
      </c>
      <c r="L44" s="4">
        <f t="shared" si="1"/>
        <v>591.79999999999995</v>
      </c>
      <c r="M44" s="10">
        <f t="shared" si="2"/>
        <v>7366.8200000000006</v>
      </c>
      <c r="N44" s="10">
        <f t="shared" si="3"/>
        <v>36.834100000000007</v>
      </c>
      <c r="O44" s="15">
        <f t="shared" ref="O44:O45" si="15">N44*8</f>
        <v>294.67280000000005</v>
      </c>
      <c r="P44" s="15">
        <v>0</v>
      </c>
    </row>
    <row r="45" spans="1:16" x14ac:dyDescent="0.25">
      <c r="A45" s="3" t="s">
        <v>42</v>
      </c>
      <c r="B45" s="12">
        <v>40</v>
      </c>
      <c r="C45" s="12">
        <v>200</v>
      </c>
      <c r="D45" s="12">
        <v>22</v>
      </c>
      <c r="E45" s="12" t="s">
        <v>15</v>
      </c>
      <c r="F45" s="5">
        <v>29.820300000000003</v>
      </c>
      <c r="G45" s="6">
        <f t="shared" si="4"/>
        <v>5964.06</v>
      </c>
      <c r="H45" s="5">
        <v>303.60000000000002</v>
      </c>
      <c r="I45" s="5">
        <v>0</v>
      </c>
      <c r="J45" s="6">
        <f t="shared" si="0"/>
        <v>0</v>
      </c>
      <c r="K45" s="5">
        <f t="shared" si="6"/>
        <v>206.8</v>
      </c>
      <c r="L45" s="3">
        <f t="shared" si="1"/>
        <v>591.79999999999995</v>
      </c>
      <c r="M45" s="7">
        <f t="shared" si="2"/>
        <v>7066.2600000000011</v>
      </c>
      <c r="N45" s="7">
        <f t="shared" si="3"/>
        <v>35.331300000000006</v>
      </c>
      <c r="O45" s="7">
        <f t="shared" si="15"/>
        <v>282.65040000000005</v>
      </c>
      <c r="P45" s="7">
        <v>0</v>
      </c>
    </row>
    <row r="46" spans="1:16" x14ac:dyDescent="0.25">
      <c r="A46" s="4" t="s">
        <v>43</v>
      </c>
      <c r="B46" s="13">
        <v>30</v>
      </c>
      <c r="C46" s="13">
        <v>150</v>
      </c>
      <c r="D46" s="13">
        <v>22</v>
      </c>
      <c r="E46" s="13" t="s">
        <v>15</v>
      </c>
      <c r="F46" s="8">
        <v>29.820333333333334</v>
      </c>
      <c r="G46" s="9">
        <f t="shared" si="4"/>
        <v>4473.05</v>
      </c>
      <c r="H46" s="8">
        <v>303.60000000000002</v>
      </c>
      <c r="I46" s="8">
        <v>0</v>
      </c>
      <c r="J46" s="9">
        <f t="shared" si="0"/>
        <v>0</v>
      </c>
      <c r="K46" s="9">
        <f t="shared" si="6"/>
        <v>206.8</v>
      </c>
      <c r="L46" s="4">
        <f t="shared" si="1"/>
        <v>591.79999999999995</v>
      </c>
      <c r="M46" s="10">
        <f t="shared" si="2"/>
        <v>5575.2500000000009</v>
      </c>
      <c r="N46" s="10">
        <f t="shared" si="3"/>
        <v>37.168333333333337</v>
      </c>
      <c r="O46" s="15">
        <v>0</v>
      </c>
      <c r="P46" s="15">
        <f t="shared" si="5"/>
        <v>446.02000000000004</v>
      </c>
    </row>
    <row r="47" spans="1:16" x14ac:dyDescent="0.25">
      <c r="A47" s="3" t="s">
        <v>44</v>
      </c>
      <c r="B47" s="12">
        <v>20</v>
      </c>
      <c r="C47" s="12">
        <v>100</v>
      </c>
      <c r="D47" s="12">
        <v>22</v>
      </c>
      <c r="E47" s="12" t="s">
        <v>15</v>
      </c>
      <c r="F47" s="5">
        <v>29.820266666666665</v>
      </c>
      <c r="G47" s="6">
        <f t="shared" si="4"/>
        <v>2982.0266666666666</v>
      </c>
      <c r="H47" s="5">
        <v>303.60000000000002</v>
      </c>
      <c r="I47" s="5">
        <v>0</v>
      </c>
      <c r="J47" s="6">
        <f t="shared" si="0"/>
        <v>0</v>
      </c>
      <c r="K47" s="5">
        <f t="shared" si="6"/>
        <v>206.8</v>
      </c>
      <c r="L47" s="3">
        <f t="shared" si="1"/>
        <v>591.79999999999995</v>
      </c>
      <c r="M47" s="7">
        <f t="shared" si="2"/>
        <v>4084.2266666666665</v>
      </c>
      <c r="N47" s="7">
        <f t="shared" si="3"/>
        <v>40.842266666666667</v>
      </c>
      <c r="O47" s="7">
        <v>0</v>
      </c>
      <c r="P47" s="7">
        <f t="shared" si="5"/>
        <v>490.10720000000003</v>
      </c>
    </row>
    <row r="48" spans="1:16" x14ac:dyDescent="0.25">
      <c r="A48" s="4" t="s">
        <v>45</v>
      </c>
      <c r="B48" s="13">
        <v>30</v>
      </c>
      <c r="C48" s="13">
        <v>150</v>
      </c>
      <c r="D48" s="13">
        <v>22</v>
      </c>
      <c r="E48" s="13" t="s">
        <v>15</v>
      </c>
      <c r="F48" s="8">
        <v>29.820333333333334</v>
      </c>
      <c r="G48" s="9">
        <f t="shared" si="4"/>
        <v>4473.05</v>
      </c>
      <c r="H48" s="8">
        <v>303.60000000000002</v>
      </c>
      <c r="I48" s="8">
        <v>0</v>
      </c>
      <c r="J48" s="9">
        <f t="shared" si="0"/>
        <v>0</v>
      </c>
      <c r="K48" s="9">
        <f t="shared" si="6"/>
        <v>206.8</v>
      </c>
      <c r="L48" s="4">
        <f t="shared" si="1"/>
        <v>591.79999999999995</v>
      </c>
      <c r="M48" s="10">
        <f t="shared" si="2"/>
        <v>5575.2500000000009</v>
      </c>
      <c r="N48" s="10">
        <f t="shared" si="3"/>
        <v>37.168333333333337</v>
      </c>
      <c r="O48" s="15">
        <v>0</v>
      </c>
      <c r="P48" s="15">
        <f t="shared" si="5"/>
        <v>446.02000000000004</v>
      </c>
    </row>
    <row r="49" spans="1:16" x14ac:dyDescent="0.25">
      <c r="A49" s="3" t="s">
        <v>46</v>
      </c>
      <c r="B49" s="12">
        <v>40</v>
      </c>
      <c r="C49" s="12">
        <v>200</v>
      </c>
      <c r="D49" s="12">
        <v>22</v>
      </c>
      <c r="E49" s="12" t="s">
        <v>15</v>
      </c>
      <c r="F49" s="5">
        <v>79.283000000000001</v>
      </c>
      <c r="G49" s="6">
        <f t="shared" si="4"/>
        <v>15856.6</v>
      </c>
      <c r="H49" s="5">
        <v>303.60000000000002</v>
      </c>
      <c r="I49" s="5">
        <v>0</v>
      </c>
      <c r="J49" s="6">
        <f t="shared" si="0"/>
        <v>0</v>
      </c>
      <c r="K49" s="5">
        <f t="shared" si="6"/>
        <v>206.8</v>
      </c>
      <c r="L49" s="3">
        <f t="shared" si="1"/>
        <v>591.79999999999995</v>
      </c>
      <c r="M49" s="7">
        <f t="shared" si="2"/>
        <v>16958.8</v>
      </c>
      <c r="N49" s="7">
        <f t="shared" si="3"/>
        <v>84.793999999999997</v>
      </c>
      <c r="O49" s="7">
        <f>N49*8</f>
        <v>678.35199999999998</v>
      </c>
      <c r="P49" s="7">
        <v>0</v>
      </c>
    </row>
    <row r="50" spans="1:16" x14ac:dyDescent="0.25">
      <c r="A50" s="4" t="s">
        <v>46</v>
      </c>
      <c r="B50" s="13">
        <v>20</v>
      </c>
      <c r="C50" s="13">
        <v>100</v>
      </c>
      <c r="D50" s="13">
        <v>5</v>
      </c>
      <c r="E50" s="13" t="s">
        <v>15</v>
      </c>
      <c r="F50" s="8">
        <v>79.283000000000001</v>
      </c>
      <c r="G50" s="9">
        <f t="shared" si="4"/>
        <v>7928.3</v>
      </c>
      <c r="H50" s="8">
        <v>303.60000000000002</v>
      </c>
      <c r="I50" s="8">
        <v>0</v>
      </c>
      <c r="J50" s="9">
        <f t="shared" si="0"/>
        <v>0</v>
      </c>
      <c r="K50" s="9">
        <f t="shared" si="6"/>
        <v>47</v>
      </c>
      <c r="L50" s="4">
        <f t="shared" si="1"/>
        <v>134.5</v>
      </c>
      <c r="M50" s="10">
        <f t="shared" si="2"/>
        <v>8413.4</v>
      </c>
      <c r="N50" s="10">
        <f t="shared" si="3"/>
        <v>84.134</v>
      </c>
      <c r="O50" s="15">
        <v>0</v>
      </c>
      <c r="P50" s="15">
        <f t="shared" si="5"/>
        <v>1009.6079999999999</v>
      </c>
    </row>
    <row r="51" spans="1:16" x14ac:dyDescent="0.25">
      <c r="A51" s="3" t="s">
        <v>46</v>
      </c>
      <c r="B51" s="12">
        <v>12</v>
      </c>
      <c r="C51" s="12">
        <v>60</v>
      </c>
      <c r="D51" s="12">
        <v>5</v>
      </c>
      <c r="E51" s="12" t="s">
        <v>15</v>
      </c>
      <c r="F51" s="5">
        <v>79.283000000000001</v>
      </c>
      <c r="G51" s="6">
        <f t="shared" si="4"/>
        <v>4756.9800000000005</v>
      </c>
      <c r="H51" s="5">
        <v>303.60000000000002</v>
      </c>
      <c r="I51" s="5">
        <v>0</v>
      </c>
      <c r="J51" s="6">
        <f t="shared" si="0"/>
        <v>0</v>
      </c>
      <c r="K51" s="5">
        <f t="shared" si="6"/>
        <v>47</v>
      </c>
      <c r="L51" s="3">
        <f t="shared" si="1"/>
        <v>134.5</v>
      </c>
      <c r="M51" s="7">
        <f t="shared" si="2"/>
        <v>5242.0800000000008</v>
      </c>
      <c r="N51" s="7">
        <f t="shared" si="3"/>
        <v>87.368000000000009</v>
      </c>
      <c r="O51" s="7">
        <v>0</v>
      </c>
      <c r="P51" s="7">
        <f t="shared" si="5"/>
        <v>1048.4160000000002</v>
      </c>
    </row>
    <row r="52" spans="1:16" x14ac:dyDescent="0.25">
      <c r="A52" s="4" t="s">
        <v>46</v>
      </c>
      <c r="B52" s="13">
        <v>12</v>
      </c>
      <c r="C52" s="13">
        <v>60</v>
      </c>
      <c r="D52" s="13">
        <v>5</v>
      </c>
      <c r="E52" s="13" t="s">
        <v>18</v>
      </c>
      <c r="F52" s="8">
        <v>79.283000000000001</v>
      </c>
      <c r="G52" s="9">
        <f t="shared" si="4"/>
        <v>4756.9800000000005</v>
      </c>
      <c r="H52" s="8">
        <v>303.60000000000002</v>
      </c>
      <c r="I52" s="8">
        <v>0</v>
      </c>
      <c r="J52" s="9">
        <f t="shared" si="0"/>
        <v>634.26400000000001</v>
      </c>
      <c r="K52" s="9">
        <f t="shared" si="6"/>
        <v>47</v>
      </c>
      <c r="L52" s="4">
        <f t="shared" si="1"/>
        <v>134.5</v>
      </c>
      <c r="M52" s="10">
        <f t="shared" si="2"/>
        <v>5876.344000000001</v>
      </c>
      <c r="N52" s="10">
        <f t="shared" si="3"/>
        <v>97.939066666666676</v>
      </c>
      <c r="O52" s="15">
        <v>0</v>
      </c>
      <c r="P52" s="15">
        <f t="shared" si="5"/>
        <v>1175.2688000000001</v>
      </c>
    </row>
    <row r="53" spans="1:16" x14ac:dyDescent="0.25">
      <c r="A53" s="3" t="s">
        <v>46</v>
      </c>
      <c r="B53" s="12">
        <v>24</v>
      </c>
      <c r="C53" s="12">
        <v>120</v>
      </c>
      <c r="D53" s="12">
        <v>5</v>
      </c>
      <c r="E53" s="12" t="s">
        <v>18</v>
      </c>
      <c r="F53" s="5">
        <v>79.283000000000001</v>
      </c>
      <c r="G53" s="6">
        <f t="shared" si="4"/>
        <v>9513.9600000000009</v>
      </c>
      <c r="H53" s="5">
        <v>303.60000000000002</v>
      </c>
      <c r="I53" s="5">
        <v>0</v>
      </c>
      <c r="J53" s="6">
        <f t="shared" si="0"/>
        <v>634.26400000000001</v>
      </c>
      <c r="K53" s="5">
        <f t="shared" si="6"/>
        <v>47</v>
      </c>
      <c r="L53" s="3">
        <f t="shared" si="1"/>
        <v>134.5</v>
      </c>
      <c r="M53" s="7">
        <f t="shared" si="2"/>
        <v>10633.324000000001</v>
      </c>
      <c r="N53" s="7">
        <f t="shared" si="3"/>
        <v>88.611033333333339</v>
      </c>
      <c r="O53" s="7">
        <v>0</v>
      </c>
      <c r="P53" s="7">
        <f t="shared" si="5"/>
        <v>1063.3324</v>
      </c>
    </row>
    <row r="54" spans="1:16" x14ac:dyDescent="0.25">
      <c r="A54" s="4" t="s">
        <v>47</v>
      </c>
      <c r="B54" s="13">
        <v>40</v>
      </c>
      <c r="C54" s="13">
        <v>200</v>
      </c>
      <c r="D54" s="13">
        <v>22</v>
      </c>
      <c r="E54" s="13" t="s">
        <v>15</v>
      </c>
      <c r="F54" s="8">
        <v>11.9734</v>
      </c>
      <c r="G54" s="9">
        <f t="shared" si="4"/>
        <v>2394.6799999999998</v>
      </c>
      <c r="H54" s="8">
        <v>303.60000000000002</v>
      </c>
      <c r="I54" s="8">
        <v>0</v>
      </c>
      <c r="J54" s="9">
        <f t="shared" si="0"/>
        <v>0</v>
      </c>
      <c r="K54" s="9">
        <f t="shared" si="6"/>
        <v>206.8</v>
      </c>
      <c r="L54" s="4">
        <f t="shared" si="1"/>
        <v>591.79999999999995</v>
      </c>
      <c r="M54" s="10">
        <f t="shared" si="2"/>
        <v>3496.88</v>
      </c>
      <c r="N54" s="10">
        <f t="shared" si="3"/>
        <v>17.484400000000001</v>
      </c>
      <c r="O54" s="15">
        <f t="shared" ref="O54:O55" si="16">N54*8</f>
        <v>139.87520000000001</v>
      </c>
      <c r="P54" s="15">
        <v>0</v>
      </c>
    </row>
    <row r="55" spans="1:16" x14ac:dyDescent="0.25">
      <c r="A55" s="3" t="s">
        <v>48</v>
      </c>
      <c r="B55" s="12">
        <v>40</v>
      </c>
      <c r="C55" s="12">
        <v>200</v>
      </c>
      <c r="D55" s="12">
        <v>22</v>
      </c>
      <c r="E55" s="12" t="s">
        <v>15</v>
      </c>
      <c r="F55" s="5">
        <v>18.186250000000001</v>
      </c>
      <c r="G55" s="6">
        <f t="shared" si="4"/>
        <v>3637.25</v>
      </c>
      <c r="H55" s="5">
        <v>303.60000000000002</v>
      </c>
      <c r="I55" s="5">
        <v>0</v>
      </c>
      <c r="J55" s="6">
        <f t="shared" si="0"/>
        <v>0</v>
      </c>
      <c r="K55" s="5">
        <f t="shared" si="6"/>
        <v>206.8</v>
      </c>
      <c r="L55" s="3">
        <f t="shared" si="1"/>
        <v>591.79999999999995</v>
      </c>
      <c r="M55" s="7">
        <f t="shared" si="2"/>
        <v>4739.45</v>
      </c>
      <c r="N55" s="7">
        <f t="shared" si="3"/>
        <v>23.69725</v>
      </c>
      <c r="O55" s="7">
        <f t="shared" si="16"/>
        <v>189.578</v>
      </c>
      <c r="P55" s="7">
        <v>0</v>
      </c>
    </row>
    <row r="56" spans="1:16" x14ac:dyDescent="0.25">
      <c r="A56" s="4" t="s">
        <v>49</v>
      </c>
      <c r="B56" s="13">
        <v>20</v>
      </c>
      <c r="C56" s="13">
        <v>100</v>
      </c>
      <c r="D56" s="13">
        <v>22</v>
      </c>
      <c r="E56" s="13" t="s">
        <v>15</v>
      </c>
      <c r="F56" s="8">
        <v>29.820266666666665</v>
      </c>
      <c r="G56" s="9">
        <f t="shared" si="4"/>
        <v>2982.0266666666666</v>
      </c>
      <c r="H56" s="8">
        <v>303.60000000000002</v>
      </c>
      <c r="I56" s="8">
        <v>0</v>
      </c>
      <c r="J56" s="9">
        <f t="shared" si="0"/>
        <v>0</v>
      </c>
      <c r="K56" s="9">
        <f t="shared" si="6"/>
        <v>206.8</v>
      </c>
      <c r="L56" s="4">
        <f t="shared" si="1"/>
        <v>591.79999999999995</v>
      </c>
      <c r="M56" s="10">
        <f t="shared" si="2"/>
        <v>4084.2266666666665</v>
      </c>
      <c r="N56" s="10">
        <f t="shared" si="3"/>
        <v>40.842266666666667</v>
      </c>
      <c r="O56" s="15">
        <v>0</v>
      </c>
      <c r="P56" s="15">
        <f t="shared" si="5"/>
        <v>490.10720000000003</v>
      </c>
    </row>
    <row r="57" spans="1:16" x14ac:dyDescent="0.25">
      <c r="A57" s="3" t="s">
        <v>49</v>
      </c>
      <c r="B57" s="12">
        <v>30</v>
      </c>
      <c r="C57" s="12">
        <v>150</v>
      </c>
      <c r="D57" s="12">
        <v>22</v>
      </c>
      <c r="E57" s="12" t="s">
        <v>15</v>
      </c>
      <c r="F57" s="5">
        <v>29.820333333333334</v>
      </c>
      <c r="G57" s="6">
        <f t="shared" si="4"/>
        <v>4473.05</v>
      </c>
      <c r="H57" s="5">
        <v>303.60000000000002</v>
      </c>
      <c r="I57" s="5">
        <v>0</v>
      </c>
      <c r="J57" s="6">
        <f t="shared" si="0"/>
        <v>0</v>
      </c>
      <c r="K57" s="5">
        <f t="shared" si="6"/>
        <v>206.8</v>
      </c>
      <c r="L57" s="3">
        <f t="shared" si="1"/>
        <v>591.79999999999995</v>
      </c>
      <c r="M57" s="7">
        <f t="shared" si="2"/>
        <v>5575.2500000000009</v>
      </c>
      <c r="N57" s="7">
        <f t="shared" si="3"/>
        <v>37.168333333333337</v>
      </c>
      <c r="O57" s="7">
        <v>0</v>
      </c>
      <c r="P57" s="7">
        <f t="shared" si="5"/>
        <v>446.02000000000004</v>
      </c>
    </row>
    <row r="58" spans="1:16" x14ac:dyDescent="0.25">
      <c r="A58" s="4" t="s">
        <v>50</v>
      </c>
      <c r="B58" s="13">
        <v>30</v>
      </c>
      <c r="C58" s="13">
        <v>150</v>
      </c>
      <c r="D58" s="13">
        <v>22</v>
      </c>
      <c r="E58" s="13" t="s">
        <v>15</v>
      </c>
      <c r="F58" s="8">
        <v>29.820333333333334</v>
      </c>
      <c r="G58" s="9">
        <f t="shared" si="4"/>
        <v>4473.05</v>
      </c>
      <c r="H58" s="8">
        <v>303.60000000000002</v>
      </c>
      <c r="I58" s="8">
        <v>0</v>
      </c>
      <c r="J58" s="9">
        <f t="shared" si="0"/>
        <v>0</v>
      </c>
      <c r="K58" s="9">
        <f t="shared" si="6"/>
        <v>206.8</v>
      </c>
      <c r="L58" s="4">
        <f t="shared" si="1"/>
        <v>591.79999999999995</v>
      </c>
      <c r="M58" s="10">
        <f t="shared" si="2"/>
        <v>5575.2500000000009</v>
      </c>
      <c r="N58" s="10">
        <f t="shared" si="3"/>
        <v>37.168333333333337</v>
      </c>
      <c r="O58" s="15">
        <v>0</v>
      </c>
      <c r="P58" s="15">
        <f t="shared" si="5"/>
        <v>446.02000000000004</v>
      </c>
    </row>
    <row r="59" spans="1:16" x14ac:dyDescent="0.25">
      <c r="A59" s="3" t="s">
        <v>51</v>
      </c>
      <c r="B59" s="12">
        <v>40</v>
      </c>
      <c r="C59" s="12">
        <v>200</v>
      </c>
      <c r="D59" s="12">
        <v>22</v>
      </c>
      <c r="E59" s="12" t="s">
        <v>15</v>
      </c>
      <c r="F59" s="5">
        <v>29.820300000000003</v>
      </c>
      <c r="G59" s="6">
        <f t="shared" si="4"/>
        <v>5964.06</v>
      </c>
      <c r="H59" s="5">
        <v>303.60000000000002</v>
      </c>
      <c r="I59" s="5">
        <v>0</v>
      </c>
      <c r="J59" s="6">
        <f t="shared" si="0"/>
        <v>0</v>
      </c>
      <c r="K59" s="5">
        <f t="shared" si="6"/>
        <v>206.8</v>
      </c>
      <c r="L59" s="3">
        <f t="shared" si="1"/>
        <v>591.79999999999995</v>
      </c>
      <c r="M59" s="7">
        <f t="shared" si="2"/>
        <v>7066.2600000000011</v>
      </c>
      <c r="N59" s="7">
        <f t="shared" si="3"/>
        <v>35.331300000000006</v>
      </c>
      <c r="O59" s="7">
        <f>N59*8</f>
        <v>282.65040000000005</v>
      </c>
      <c r="P59" s="7">
        <v>0</v>
      </c>
    </row>
    <row r="60" spans="1:16" x14ac:dyDescent="0.25">
      <c r="A60" s="4" t="s">
        <v>51</v>
      </c>
      <c r="B60" s="13">
        <v>30</v>
      </c>
      <c r="C60" s="13">
        <v>150</v>
      </c>
      <c r="D60" s="13">
        <v>22</v>
      </c>
      <c r="E60" s="13" t="s">
        <v>15</v>
      </c>
      <c r="F60" s="8">
        <v>29.820333333333334</v>
      </c>
      <c r="G60" s="9">
        <f t="shared" si="4"/>
        <v>4473.05</v>
      </c>
      <c r="H60" s="8">
        <v>303.60000000000002</v>
      </c>
      <c r="I60" s="8">
        <v>0</v>
      </c>
      <c r="J60" s="9">
        <f t="shared" si="0"/>
        <v>0</v>
      </c>
      <c r="K60" s="9">
        <f t="shared" si="6"/>
        <v>206.8</v>
      </c>
      <c r="L60" s="4">
        <f t="shared" si="1"/>
        <v>591.79999999999995</v>
      </c>
      <c r="M60" s="10">
        <f t="shared" si="2"/>
        <v>5575.2500000000009</v>
      </c>
      <c r="N60" s="10">
        <f t="shared" si="3"/>
        <v>37.168333333333337</v>
      </c>
      <c r="O60" s="15">
        <v>0</v>
      </c>
      <c r="P60" s="15">
        <f t="shared" si="5"/>
        <v>446.02000000000004</v>
      </c>
    </row>
    <row r="61" spans="1:16" x14ac:dyDescent="0.25">
      <c r="A61" s="3" t="s">
        <v>52</v>
      </c>
      <c r="B61" s="12">
        <v>40</v>
      </c>
      <c r="C61" s="12">
        <v>200</v>
      </c>
      <c r="D61" s="12">
        <v>22</v>
      </c>
      <c r="E61" s="12" t="s">
        <v>15</v>
      </c>
      <c r="F61" s="5">
        <v>11.9734</v>
      </c>
      <c r="G61" s="6">
        <f t="shared" si="4"/>
        <v>2394.6799999999998</v>
      </c>
      <c r="H61" s="5">
        <v>303.60000000000002</v>
      </c>
      <c r="I61" s="5">
        <v>0</v>
      </c>
      <c r="J61" s="6">
        <f t="shared" si="0"/>
        <v>0</v>
      </c>
      <c r="K61" s="5">
        <f t="shared" si="6"/>
        <v>206.8</v>
      </c>
      <c r="L61" s="3">
        <f t="shared" si="1"/>
        <v>591.79999999999995</v>
      </c>
      <c r="M61" s="7">
        <f t="shared" si="2"/>
        <v>3496.88</v>
      </c>
      <c r="N61" s="7">
        <f t="shared" si="3"/>
        <v>17.484400000000001</v>
      </c>
      <c r="O61" s="7">
        <f>N61*8</f>
        <v>139.87520000000001</v>
      </c>
      <c r="P61" s="7">
        <v>0</v>
      </c>
    </row>
    <row r="62" spans="1:16" x14ac:dyDescent="0.25">
      <c r="A62" s="4" t="s">
        <v>52</v>
      </c>
      <c r="B62" s="13">
        <v>30</v>
      </c>
      <c r="C62" s="13">
        <v>150</v>
      </c>
      <c r="D62" s="13">
        <v>22</v>
      </c>
      <c r="E62" s="13" t="s">
        <v>15</v>
      </c>
      <c r="F62" s="8">
        <v>11.9734</v>
      </c>
      <c r="G62" s="9">
        <f t="shared" si="4"/>
        <v>1796.01</v>
      </c>
      <c r="H62" s="8">
        <v>303.60000000000002</v>
      </c>
      <c r="I62" s="8">
        <v>0</v>
      </c>
      <c r="J62" s="9">
        <f t="shared" si="0"/>
        <v>0</v>
      </c>
      <c r="K62" s="9">
        <f t="shared" si="6"/>
        <v>206.8</v>
      </c>
      <c r="L62" s="4">
        <f t="shared" si="1"/>
        <v>591.79999999999995</v>
      </c>
      <c r="M62" s="10">
        <f t="shared" si="2"/>
        <v>2898.21</v>
      </c>
      <c r="N62" s="10">
        <f t="shared" si="3"/>
        <v>19.321400000000001</v>
      </c>
      <c r="O62" s="15">
        <v>0</v>
      </c>
      <c r="P62" s="15">
        <f t="shared" si="5"/>
        <v>231.85680000000002</v>
      </c>
    </row>
    <row r="63" spans="1:16" x14ac:dyDescent="0.25">
      <c r="A63" s="3" t="s">
        <v>53</v>
      </c>
      <c r="B63" s="12">
        <v>40</v>
      </c>
      <c r="C63" s="12">
        <v>200</v>
      </c>
      <c r="D63" s="12">
        <v>22</v>
      </c>
      <c r="E63" s="12" t="s">
        <v>15</v>
      </c>
      <c r="F63" s="5">
        <v>29.820266666666665</v>
      </c>
      <c r="G63" s="6">
        <f t="shared" si="4"/>
        <v>5964.0533333333333</v>
      </c>
      <c r="H63" s="5">
        <v>303.60000000000002</v>
      </c>
      <c r="I63" s="5">
        <v>0</v>
      </c>
      <c r="J63" s="6">
        <f t="shared" si="0"/>
        <v>0</v>
      </c>
      <c r="K63" s="5">
        <f t="shared" si="6"/>
        <v>206.8</v>
      </c>
      <c r="L63" s="3">
        <f t="shared" si="1"/>
        <v>591.79999999999995</v>
      </c>
      <c r="M63" s="7">
        <f t="shared" si="2"/>
        <v>7066.253333333334</v>
      </c>
      <c r="N63" s="7">
        <f t="shared" si="3"/>
        <v>35.331266666666671</v>
      </c>
      <c r="O63" s="7">
        <f>N63*8</f>
        <v>282.65013333333337</v>
      </c>
      <c r="P63" s="7">
        <v>0</v>
      </c>
    </row>
    <row r="64" spans="1:16" x14ac:dyDescent="0.25">
      <c r="A64" s="4" t="s">
        <v>54</v>
      </c>
      <c r="B64" s="13">
        <v>30</v>
      </c>
      <c r="C64" s="13">
        <v>150</v>
      </c>
      <c r="D64" s="13">
        <v>22</v>
      </c>
      <c r="E64" s="13" t="s">
        <v>15</v>
      </c>
      <c r="F64" s="8">
        <v>29.820333333333334</v>
      </c>
      <c r="G64" s="9">
        <f t="shared" si="4"/>
        <v>4473.05</v>
      </c>
      <c r="H64" s="8">
        <v>303.60000000000002</v>
      </c>
      <c r="I64" s="8">
        <v>0</v>
      </c>
      <c r="J64" s="9">
        <f t="shared" si="0"/>
        <v>0</v>
      </c>
      <c r="K64" s="9">
        <f t="shared" si="6"/>
        <v>206.8</v>
      </c>
      <c r="L64" s="4">
        <f t="shared" si="1"/>
        <v>591.79999999999995</v>
      </c>
      <c r="M64" s="10">
        <f t="shared" si="2"/>
        <v>5575.2500000000009</v>
      </c>
      <c r="N64" s="10">
        <f t="shared" si="3"/>
        <v>37.168333333333337</v>
      </c>
      <c r="O64" s="15">
        <v>0</v>
      </c>
      <c r="P64" s="15">
        <f t="shared" si="5"/>
        <v>446.02000000000004</v>
      </c>
    </row>
    <row r="65" spans="1:16" x14ac:dyDescent="0.25">
      <c r="A65" s="3" t="s">
        <v>55</v>
      </c>
      <c r="B65" s="12">
        <v>40</v>
      </c>
      <c r="C65" s="12">
        <v>200</v>
      </c>
      <c r="D65" s="12">
        <v>22</v>
      </c>
      <c r="E65" s="12" t="s">
        <v>15</v>
      </c>
      <c r="F65" s="5">
        <v>29.820266666666665</v>
      </c>
      <c r="G65" s="6">
        <f t="shared" si="4"/>
        <v>5964.0533333333333</v>
      </c>
      <c r="H65" s="5">
        <v>303.60000000000002</v>
      </c>
      <c r="I65" s="5">
        <v>0</v>
      </c>
      <c r="J65" s="6">
        <f t="shared" si="0"/>
        <v>0</v>
      </c>
      <c r="K65" s="5">
        <f t="shared" si="6"/>
        <v>206.8</v>
      </c>
      <c r="L65" s="3">
        <f t="shared" si="1"/>
        <v>591.79999999999995</v>
      </c>
      <c r="M65" s="7">
        <f t="shared" si="2"/>
        <v>7066.253333333334</v>
      </c>
      <c r="N65" s="7">
        <f t="shared" si="3"/>
        <v>35.331266666666671</v>
      </c>
      <c r="O65" s="7">
        <f>N65*8</f>
        <v>282.65013333333337</v>
      </c>
      <c r="P65" s="7">
        <v>0</v>
      </c>
    </row>
    <row r="66" spans="1:16" x14ac:dyDescent="0.25">
      <c r="A66" s="4" t="s">
        <v>55</v>
      </c>
      <c r="B66" s="13">
        <v>30</v>
      </c>
      <c r="C66" s="13">
        <v>150</v>
      </c>
      <c r="D66" s="13">
        <v>22</v>
      </c>
      <c r="E66" s="13" t="s">
        <v>15</v>
      </c>
      <c r="F66" s="8">
        <v>29.820333333333334</v>
      </c>
      <c r="G66" s="9">
        <f t="shared" si="4"/>
        <v>4473.05</v>
      </c>
      <c r="H66" s="8">
        <v>303.60000000000002</v>
      </c>
      <c r="I66" s="8">
        <v>0</v>
      </c>
      <c r="J66" s="9">
        <f t="shared" si="0"/>
        <v>0</v>
      </c>
      <c r="K66" s="9">
        <f t="shared" si="6"/>
        <v>206.8</v>
      </c>
      <c r="L66" s="4">
        <f t="shared" si="1"/>
        <v>591.79999999999995</v>
      </c>
      <c r="M66" s="10">
        <f t="shared" si="2"/>
        <v>5575.2500000000009</v>
      </c>
      <c r="N66" s="10">
        <f t="shared" si="3"/>
        <v>37.168333333333337</v>
      </c>
      <c r="O66" s="15">
        <v>0</v>
      </c>
      <c r="P66" s="15">
        <f t="shared" si="5"/>
        <v>446.02000000000004</v>
      </c>
    </row>
    <row r="67" spans="1:16" x14ac:dyDescent="0.25">
      <c r="A67" s="3" t="s">
        <v>56</v>
      </c>
      <c r="B67" s="12">
        <v>12</v>
      </c>
      <c r="C67" s="12">
        <v>60</v>
      </c>
      <c r="D67" s="12">
        <v>22</v>
      </c>
      <c r="E67" s="12" t="s">
        <v>15</v>
      </c>
      <c r="F67" s="5">
        <v>26.512166666666666</v>
      </c>
      <c r="G67" s="6">
        <f t="shared" si="4"/>
        <v>1590.73</v>
      </c>
      <c r="H67" s="5">
        <v>303.60000000000002</v>
      </c>
      <c r="I67" s="5">
        <v>0</v>
      </c>
      <c r="J67" s="6">
        <f t="shared" si="0"/>
        <v>0</v>
      </c>
      <c r="K67" s="5">
        <f t="shared" si="6"/>
        <v>206.8</v>
      </c>
      <c r="L67" s="3">
        <f t="shared" si="1"/>
        <v>591.79999999999995</v>
      </c>
      <c r="M67" s="7">
        <f t="shared" si="2"/>
        <v>2692.9300000000003</v>
      </c>
      <c r="N67" s="7">
        <f t="shared" si="3"/>
        <v>44.88216666666667</v>
      </c>
      <c r="O67" s="7">
        <v>0</v>
      </c>
      <c r="P67" s="7">
        <f t="shared" si="5"/>
        <v>538.58600000000001</v>
      </c>
    </row>
    <row r="68" spans="1:16" x14ac:dyDescent="0.25">
      <c r="A68" s="4" t="s">
        <v>57</v>
      </c>
      <c r="B68" s="13">
        <v>40</v>
      </c>
      <c r="C68" s="13">
        <v>200</v>
      </c>
      <c r="D68" s="13">
        <v>22</v>
      </c>
      <c r="E68" s="13" t="s">
        <v>15</v>
      </c>
      <c r="F68" s="8">
        <v>11.9734</v>
      </c>
      <c r="G68" s="9">
        <f t="shared" si="4"/>
        <v>2394.6799999999998</v>
      </c>
      <c r="H68" s="8">
        <v>303.60000000000002</v>
      </c>
      <c r="I68" s="8">
        <v>0</v>
      </c>
      <c r="J68" s="9">
        <f t="shared" si="0"/>
        <v>0</v>
      </c>
      <c r="K68" s="9">
        <f t="shared" si="6"/>
        <v>206.8</v>
      </c>
      <c r="L68" s="4">
        <f t="shared" si="1"/>
        <v>591.79999999999995</v>
      </c>
      <c r="M68" s="10">
        <f t="shared" si="2"/>
        <v>3496.88</v>
      </c>
      <c r="N68" s="10">
        <f t="shared" si="3"/>
        <v>17.484400000000001</v>
      </c>
      <c r="O68" s="15">
        <f t="shared" ref="O68:O71" si="17">N68*8</f>
        <v>139.87520000000001</v>
      </c>
      <c r="P68" s="15">
        <v>0</v>
      </c>
    </row>
    <row r="69" spans="1:16" x14ac:dyDescent="0.25">
      <c r="A69" s="3" t="s">
        <v>58</v>
      </c>
      <c r="B69" s="12">
        <v>40</v>
      </c>
      <c r="C69" s="12">
        <v>200</v>
      </c>
      <c r="D69" s="12">
        <v>22</v>
      </c>
      <c r="E69" s="12" t="s">
        <v>15</v>
      </c>
      <c r="F69" s="5">
        <v>11.624649999999999</v>
      </c>
      <c r="G69" s="6">
        <f t="shared" si="4"/>
        <v>2324.9299999999998</v>
      </c>
      <c r="H69" s="5">
        <v>303.60000000000002</v>
      </c>
      <c r="I69" s="5">
        <v>0</v>
      </c>
      <c r="J69" s="6">
        <f t="shared" si="0"/>
        <v>0</v>
      </c>
      <c r="K69" s="5">
        <f t="shared" si="6"/>
        <v>206.8</v>
      </c>
      <c r="L69" s="3">
        <f t="shared" si="1"/>
        <v>591.79999999999995</v>
      </c>
      <c r="M69" s="7">
        <f t="shared" si="2"/>
        <v>3427.13</v>
      </c>
      <c r="N69" s="7">
        <f t="shared" si="3"/>
        <v>17.135650000000002</v>
      </c>
      <c r="O69" s="7">
        <f t="shared" si="17"/>
        <v>137.08520000000001</v>
      </c>
      <c r="P69" s="7">
        <v>0</v>
      </c>
    </row>
    <row r="70" spans="1:16" x14ac:dyDescent="0.25">
      <c r="A70" s="4" t="s">
        <v>59</v>
      </c>
      <c r="B70" s="13">
        <v>40</v>
      </c>
      <c r="C70" s="13">
        <v>200</v>
      </c>
      <c r="D70" s="13">
        <v>11</v>
      </c>
      <c r="E70" s="13" t="s">
        <v>15</v>
      </c>
      <c r="F70" s="8">
        <v>11.624649999999999</v>
      </c>
      <c r="G70" s="9">
        <f t="shared" si="4"/>
        <v>2324.9299999999998</v>
      </c>
      <c r="H70" s="8">
        <v>303.60000000000002</v>
      </c>
      <c r="I70" s="8">
        <v>0</v>
      </c>
      <c r="J70" s="9">
        <f t="shared" ref="J70:J75" si="18">IF($E70="NOITE",($G70/$C70*0.2)*8*$D70,0)</f>
        <v>0</v>
      </c>
      <c r="K70" s="9">
        <f t="shared" ref="K70:K75" si="19">9.4*D70</f>
        <v>103.4</v>
      </c>
      <c r="L70" s="4">
        <f t="shared" ref="L70:L75" si="20">26.9*D70</f>
        <v>295.89999999999998</v>
      </c>
      <c r="M70" s="10">
        <f t="shared" ref="M70:M75" si="21">SUM(G70:L70)</f>
        <v>3027.83</v>
      </c>
      <c r="N70" s="10">
        <f>M70/132</f>
        <v>22.93810606060606</v>
      </c>
      <c r="O70" s="15">
        <f t="shared" si="17"/>
        <v>183.50484848484848</v>
      </c>
      <c r="P70" s="15">
        <f>N70*12</f>
        <v>275.25727272727272</v>
      </c>
    </row>
    <row r="71" spans="1:16" x14ac:dyDescent="0.25">
      <c r="A71" s="3" t="s">
        <v>59</v>
      </c>
      <c r="B71" s="12">
        <v>40</v>
      </c>
      <c r="C71" s="12">
        <v>200</v>
      </c>
      <c r="D71" s="12">
        <v>11</v>
      </c>
      <c r="E71" s="12" t="s">
        <v>18</v>
      </c>
      <c r="F71" s="5">
        <v>11.624649999999999</v>
      </c>
      <c r="G71" s="6">
        <f t="shared" ref="G71:G75" si="22">F71*C71</f>
        <v>2324.9299999999998</v>
      </c>
      <c r="H71" s="5">
        <v>303.60000000000002</v>
      </c>
      <c r="I71" s="5">
        <v>0</v>
      </c>
      <c r="J71" s="6">
        <f t="shared" si="18"/>
        <v>204.59383999999997</v>
      </c>
      <c r="K71" s="5">
        <f t="shared" si="19"/>
        <v>103.4</v>
      </c>
      <c r="L71" s="3">
        <f t="shared" si="20"/>
        <v>295.89999999999998</v>
      </c>
      <c r="M71" s="7">
        <f t="shared" si="21"/>
        <v>3232.4238399999999</v>
      </c>
      <c r="N71" s="7">
        <f>M71/132</f>
        <v>24.488059393939395</v>
      </c>
      <c r="O71" s="7">
        <f t="shared" si="17"/>
        <v>195.90447515151516</v>
      </c>
      <c r="P71" s="15">
        <f>N71*12</f>
        <v>293.85671272727274</v>
      </c>
    </row>
    <row r="72" spans="1:16" x14ac:dyDescent="0.25">
      <c r="A72" s="4" t="s">
        <v>59</v>
      </c>
      <c r="B72" s="13">
        <v>30</v>
      </c>
      <c r="C72" s="13">
        <v>150</v>
      </c>
      <c r="D72" s="13">
        <v>11</v>
      </c>
      <c r="E72" s="13" t="s">
        <v>15</v>
      </c>
      <c r="F72" s="8">
        <v>11.624649999999999</v>
      </c>
      <c r="G72" s="9">
        <f t="shared" si="22"/>
        <v>1743.6974999999998</v>
      </c>
      <c r="H72" s="8">
        <v>303.60000000000002</v>
      </c>
      <c r="I72" s="8">
        <v>0</v>
      </c>
      <c r="J72" s="9">
        <f t="shared" si="18"/>
        <v>0</v>
      </c>
      <c r="K72" s="9">
        <f t="shared" si="19"/>
        <v>103.4</v>
      </c>
      <c r="L72" s="4">
        <f t="shared" si="20"/>
        <v>295.89999999999998</v>
      </c>
      <c r="M72" s="10">
        <f t="shared" si="21"/>
        <v>2446.5974999999999</v>
      </c>
      <c r="N72" s="10">
        <f>M72/132</f>
        <v>18.534829545454546</v>
      </c>
      <c r="O72" s="15">
        <v>0</v>
      </c>
      <c r="P72" s="15">
        <f t="shared" ref="P72:P75" si="23">N72*12</f>
        <v>222.41795454545456</v>
      </c>
    </row>
    <row r="73" spans="1:16" x14ac:dyDescent="0.25">
      <c r="A73" s="3" t="s">
        <v>59</v>
      </c>
      <c r="B73" s="12">
        <v>30</v>
      </c>
      <c r="C73" s="12">
        <v>150</v>
      </c>
      <c r="D73" s="12">
        <v>11</v>
      </c>
      <c r="E73" s="12" t="s">
        <v>18</v>
      </c>
      <c r="F73" s="5">
        <v>11.624649999999999</v>
      </c>
      <c r="G73" s="6">
        <f t="shared" si="22"/>
        <v>1743.6974999999998</v>
      </c>
      <c r="H73" s="5">
        <v>303.60000000000002</v>
      </c>
      <c r="I73" s="5">
        <v>0</v>
      </c>
      <c r="J73" s="6">
        <f t="shared" si="18"/>
        <v>204.59383999999997</v>
      </c>
      <c r="K73" s="5">
        <f t="shared" si="19"/>
        <v>103.4</v>
      </c>
      <c r="L73" s="3">
        <f t="shared" si="20"/>
        <v>295.89999999999998</v>
      </c>
      <c r="M73" s="7">
        <f t="shared" si="21"/>
        <v>2651.1913399999999</v>
      </c>
      <c r="N73" s="7">
        <f>M73/132</f>
        <v>20.084782878787877</v>
      </c>
      <c r="O73" s="7">
        <v>0</v>
      </c>
      <c r="P73" s="7">
        <f t="shared" si="23"/>
        <v>241.01739454545452</v>
      </c>
    </row>
    <row r="74" spans="1:16" x14ac:dyDescent="0.25">
      <c r="A74" s="4" t="s">
        <v>60</v>
      </c>
      <c r="B74" s="13">
        <v>40</v>
      </c>
      <c r="C74" s="13">
        <v>200</v>
      </c>
      <c r="D74" s="13">
        <v>22</v>
      </c>
      <c r="E74" s="13" t="s">
        <v>15</v>
      </c>
      <c r="F74" s="8">
        <v>11.9734</v>
      </c>
      <c r="G74" s="9">
        <f t="shared" si="22"/>
        <v>2394.6799999999998</v>
      </c>
      <c r="H74" s="8">
        <v>303.60000000000002</v>
      </c>
      <c r="I74" s="8">
        <v>0</v>
      </c>
      <c r="J74" s="9">
        <f t="shared" si="18"/>
        <v>0</v>
      </c>
      <c r="K74" s="9">
        <f t="shared" si="19"/>
        <v>206.8</v>
      </c>
      <c r="L74" s="4">
        <f t="shared" si="20"/>
        <v>591.79999999999995</v>
      </c>
      <c r="M74" s="10">
        <f t="shared" si="21"/>
        <v>3496.88</v>
      </c>
      <c r="N74" s="10">
        <f t="shared" ref="N74:N75" si="24">M74/C74</f>
        <v>17.484400000000001</v>
      </c>
      <c r="O74" s="15">
        <f>N74*8</f>
        <v>139.87520000000001</v>
      </c>
      <c r="P74" s="15">
        <f t="shared" si="23"/>
        <v>209.81280000000001</v>
      </c>
    </row>
    <row r="75" spans="1:16" x14ac:dyDescent="0.25">
      <c r="A75" s="3" t="s">
        <v>61</v>
      </c>
      <c r="B75" s="12">
        <v>30</v>
      </c>
      <c r="C75" s="12">
        <v>150</v>
      </c>
      <c r="D75" s="12">
        <v>22</v>
      </c>
      <c r="E75" s="12" t="s">
        <v>15</v>
      </c>
      <c r="F75" s="5">
        <v>29.820333333333334</v>
      </c>
      <c r="G75" s="6">
        <f t="shared" si="22"/>
        <v>4473.05</v>
      </c>
      <c r="H75" s="5">
        <v>303.60000000000002</v>
      </c>
      <c r="I75" s="5">
        <v>0</v>
      </c>
      <c r="J75" s="6">
        <f t="shared" si="18"/>
        <v>0</v>
      </c>
      <c r="K75" s="5">
        <f t="shared" si="19"/>
        <v>206.8</v>
      </c>
      <c r="L75" s="3">
        <f t="shared" si="20"/>
        <v>591.79999999999995</v>
      </c>
      <c r="M75" s="7">
        <f t="shared" si="21"/>
        <v>5575.2500000000009</v>
      </c>
      <c r="N75" s="7">
        <f t="shared" si="24"/>
        <v>37.168333333333337</v>
      </c>
      <c r="O75" s="7">
        <v>0</v>
      </c>
      <c r="P75" s="7">
        <f t="shared" si="23"/>
        <v>446.02000000000004</v>
      </c>
    </row>
    <row r="78" spans="1:16" x14ac:dyDescent="0.25">
      <c r="N78" s="14"/>
      <c r="O78" s="14"/>
    </row>
  </sheetData>
  <autoFilter ref="A2:P75" xr:uid="{3E5D2421-C767-42FF-8896-8C9B3E24F005}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Ribamar Nascimento</dc:creator>
  <cp:lastModifiedBy>Jose Ribamar Nascimento</cp:lastModifiedBy>
  <cp:lastPrinted>2025-01-10T14:37:23Z</cp:lastPrinted>
  <dcterms:created xsi:type="dcterms:W3CDTF">2024-09-11T21:42:29Z</dcterms:created>
  <dcterms:modified xsi:type="dcterms:W3CDTF">2025-01-28T20:26:38Z</dcterms:modified>
</cp:coreProperties>
</file>